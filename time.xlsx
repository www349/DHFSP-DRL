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60" windowHeight="17775" activeTab="4"/>
  </bookViews>
  <sheets>
    <sheet name="Sheet1" sheetId="1" r:id="rId1"/>
    <sheet name="Sheet2" sheetId="2" r:id="rId2"/>
    <sheet name="Sheet3" sheetId="3" r:id="rId3"/>
    <sheet name="Sheet4" sheetId="4" r:id="rId4"/>
    <sheet name="推理时间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<sst xmlns="http://schemas.openxmlformats.org/spreadsheetml/2006/main" count="332" uniqueCount="82">
  <si>
    <t>HCGAN</t>
  </si>
  <si>
    <t>Gurobi</t>
  </si>
  <si>
    <t>LPT</t>
  </si>
  <si>
    <t>SPT</t>
  </si>
  <si>
    <t>FIFO</t>
  </si>
  <si>
    <t>MWKR</t>
  </si>
  <si>
    <t>LWKR</t>
  </si>
  <si>
    <t>MOR</t>
  </si>
  <si>
    <t>GA</t>
  </si>
  <si>
    <t>Tabu</t>
  </si>
  <si>
    <t>ILS</t>
  </si>
  <si>
    <t>Q_learning</t>
  </si>
  <si>
    <t>Training time(s)</t>
  </si>
  <si>
    <t>Testing time(s)</t>
  </si>
  <si>
    <t>Run time(s)</t>
  </si>
  <si>
    <t>2F-10-2-A</t>
  </si>
  <si>
    <t>2F-10-2-B</t>
  </si>
  <si>
    <t>-</t>
  </si>
  <si>
    <t>2F-10-3-A</t>
  </si>
  <si>
    <t>2F-10-3-B</t>
  </si>
  <si>
    <t>3F-10-2-A</t>
  </si>
  <si>
    <t>3F-10-2-B</t>
  </si>
  <si>
    <t>3F-10-3-A</t>
  </si>
  <si>
    <t>3F-10-3-B</t>
  </si>
  <si>
    <t>5F-10-2-A</t>
  </si>
  <si>
    <t>5F-10-2-B</t>
  </si>
  <si>
    <t>5F-10-3-A</t>
  </si>
  <si>
    <t>5F-10-3-B</t>
  </si>
  <si>
    <t>Total time</t>
  </si>
  <si>
    <t>2F-15-2-A</t>
  </si>
  <si>
    <t>2F-15-2-B</t>
  </si>
  <si>
    <t>2F-15-3-A</t>
  </si>
  <si>
    <t>2F-15-3-B</t>
  </si>
  <si>
    <t>3F-15-2-A</t>
  </si>
  <si>
    <t>3F-15-2-B</t>
  </si>
  <si>
    <t>3F-15-3-A</t>
  </si>
  <si>
    <t>3F-15-3-B</t>
  </si>
  <si>
    <t>5F-15-2-A</t>
  </si>
  <si>
    <t>5F-15-2-B</t>
  </si>
  <si>
    <t>5F-15-3-A</t>
  </si>
  <si>
    <t>5F-15-3-B</t>
  </si>
  <si>
    <t>2F-20-2-A</t>
  </si>
  <si>
    <t>2F-20-2-B</t>
  </si>
  <si>
    <t>2F-20-3-A</t>
  </si>
  <si>
    <t>2F-20-3-B</t>
  </si>
  <si>
    <t>3F-20-2-A</t>
  </si>
  <si>
    <t>3F-20-2-B</t>
  </si>
  <si>
    <t>3F-20-3-A</t>
  </si>
  <si>
    <t>3F-20-3-B</t>
  </si>
  <si>
    <t>5F-20-2-A</t>
  </si>
  <si>
    <t>5F-20-2-B</t>
  </si>
  <si>
    <t>5F-20-3-A</t>
  </si>
  <si>
    <t>5F-20-3-B</t>
  </si>
  <si>
    <t>4F×30×4×C</t>
  </si>
  <si>
    <t>2F×15×2×A</t>
  </si>
  <si>
    <t>2F×15×2×B</t>
  </si>
  <si>
    <t>2F×15×3×A</t>
  </si>
  <si>
    <t>2F×15×3×B</t>
  </si>
  <si>
    <t>3F×15×2×A</t>
  </si>
  <si>
    <t>3F×15×2×B</t>
  </si>
  <si>
    <t>3F×15×3×A</t>
  </si>
  <si>
    <t>3F×15×3×B</t>
  </si>
  <si>
    <t>5F×15×2×A</t>
  </si>
  <si>
    <t>5F×15×2×B</t>
  </si>
  <si>
    <t>5F×15×3×A</t>
  </si>
  <si>
    <t>5F×15×3×B</t>
  </si>
  <si>
    <t>2F×20×2×A</t>
  </si>
  <si>
    <t>2F×20×2×B</t>
  </si>
  <si>
    <t>2F×20×3×A</t>
  </si>
  <si>
    <t>2F×20×3×B</t>
  </si>
  <si>
    <t>3F×20×2×A</t>
  </si>
  <si>
    <t>3F×20×2×B</t>
  </si>
  <si>
    <t>3F×20×3×A</t>
  </si>
  <si>
    <t>3F×20×3×B</t>
  </si>
  <si>
    <t>5F×20×2×A</t>
  </si>
  <si>
    <t>5F×20×2×B</t>
  </si>
  <si>
    <t>5F×20×3×A</t>
  </si>
  <si>
    <t>5F×20×3×B</t>
  </si>
  <si>
    <t>Algorithm</t>
  </si>
  <si>
    <t>Cost Time (s)</t>
  </si>
  <si>
    <t>Runtime(s)</t>
  </si>
  <si>
    <t>Scale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</si>
</sst>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</numFmts>
  <fonts count="31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0"/>
      <color rgb="FFEE0000"/>
      <name val="Times New Roman"/>
      <charset val="134"/>
    </font>
    <font>
      <b/>
      <sz val="11"/>
      <color theme="1"/>
      <name val="Times New Roman"/>
      <charset val="134"/>
    </font>
    <font>
      <b/>
      <sz val="10"/>
      <color rgb="FF000000"/>
      <name val="Times New Roman"/>
      <charset val="134"/>
    </font>
    <font>
      <b/>
      <sz val="10"/>
      <color theme="1"/>
      <name val="Times New Roman"/>
      <charset val="134"/>
    </font>
    <font>
      <sz val="11"/>
      <color rgb="FF000000"/>
      <name val="Times New Roman"/>
      <charset val="134"/>
    </font>
    <font>
      <b/>
      <sz val="11"/>
      <color rgb="FF00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6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>
      <alignment vertical="center"/>
    </xf>
    <xf numFmtId="176" fontId="1" fillId="0" borderId="0" xfId="0" applyNumberFormat="1" applyFont="1" applyFill="1" applyAlignment="1"/>
    <xf numFmtId="176" fontId="2" fillId="0" borderId="0" xfId="0" applyNumberFormat="1" applyFont="1" applyAlignment="1">
      <alignment horizontal="center"/>
    </xf>
    <xf numFmtId="176" fontId="1" fillId="0" borderId="0" xfId="0" applyNumberFormat="1" applyFont="1">
      <alignment vertical="center"/>
    </xf>
    <xf numFmtId="176" fontId="3" fillId="0" borderId="0" xfId="0" applyNumberFormat="1" applyFont="1" applyAlignment="1">
      <alignment horizontal="center" vertical="center"/>
    </xf>
    <xf numFmtId="176" fontId="3" fillId="0" borderId="0" xfId="0" applyNumberFormat="1" applyFont="1" applyFill="1" applyAlignment="1"/>
    <xf numFmtId="176" fontId="3" fillId="0" borderId="0" xfId="0" applyNumberFormat="1" applyFont="1" applyFill="1" applyAlignment="1"/>
    <xf numFmtId="176" fontId="4" fillId="0" borderId="0" xfId="0" applyNumberFormat="1" applyFont="1" applyFill="1" applyAlignment="1"/>
    <xf numFmtId="176" fontId="3" fillId="0" borderId="0" xfId="0" applyNumberFormat="1" applyFont="1" applyFill="1" applyAlignment="1"/>
    <xf numFmtId="0" fontId="1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1" fillId="0" borderId="2" xfId="0" applyFont="1" applyBorder="1" applyAlignment="1"/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/>
    <xf numFmtId="176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176" fontId="7" fillId="0" borderId="3" xfId="0" applyNumberFormat="1" applyFont="1" applyBorder="1" applyAlignment="1">
      <alignment horizontal="center"/>
    </xf>
    <xf numFmtId="176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Font="1" applyFill="1" applyAlignment="1"/>
    <xf numFmtId="0" fontId="3" fillId="0" borderId="0" xfId="0" applyFont="1" applyFill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0" fillId="2" borderId="0" xfId="0" applyFont="1" applyFill="1" applyAlignment="1"/>
    <xf numFmtId="176" fontId="9" fillId="0" borderId="0" xfId="0" applyNumberFormat="1" applyFont="1" applyAlignment="1">
      <alignment horizontal="center"/>
    </xf>
    <xf numFmtId="176" fontId="0" fillId="0" borderId="0" xfId="0" applyNumberFormat="1" applyFont="1" applyFill="1" applyAlignment="1"/>
    <xf numFmtId="176" fontId="10" fillId="0" borderId="0" xfId="0" applyNumberFormat="1" applyFont="1" applyAlignment="1">
      <alignment horizontal="center"/>
    </xf>
    <xf numFmtId="176" fontId="0" fillId="0" borderId="0" xfId="0" applyNumberFormat="1" applyFont="1" applyFill="1" applyAlignment="1"/>
    <xf numFmtId="176" fontId="6" fillId="0" borderId="0" xfId="0" applyNumberFormat="1" applyFont="1" applyAlignment="1">
      <alignment horizontal="center" vertical="center"/>
    </xf>
    <xf numFmtId="0" fontId="1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2"/>
  <sheetViews>
    <sheetView workbookViewId="0">
      <selection activeCell="J45" sqref="J45"/>
    </sheetView>
  </sheetViews>
  <sheetFormatPr defaultColWidth="9" defaultRowHeight="15"/>
  <cols>
    <col min="1" max="1" width="9" style="18"/>
    <col min="2" max="2" width="15.5666666666667" style="6" customWidth="1"/>
    <col min="3" max="3" width="16.5666666666667" style="6" customWidth="1"/>
    <col min="4" max="4" width="11.125" style="6"/>
    <col min="5" max="7" width="9" style="18"/>
    <col min="8" max="10" width="9.375" style="18"/>
    <col min="11" max="11" width="9" style="18"/>
    <col min="12" max="12" width="11.5" style="18"/>
    <col min="13" max="13" width="9.375" style="18"/>
    <col min="14" max="14" width="11.5" style="18"/>
    <col min="15" max="15" width="10.375" style="18"/>
    <col min="16" max="16384" width="9" style="18"/>
  </cols>
  <sheetData>
    <row r="1" spans="1:15">
      <c r="B1" s="6" t="s">
        <v>0</v>
      </c>
      <c r="E1" s="18" t="s">
        <v>1</v>
      </c>
      <c r="F1" s="28" t="s">
        <v>2</v>
      </c>
      <c r="G1" s="28" t="s">
        <v>3</v>
      </c>
      <c r="H1" s="28" t="s">
        <v>4</v>
      </c>
      <c r="I1" s="28" t="s">
        <v>5</v>
      </c>
      <c r="J1" s="28" t="s">
        <v>6</v>
      </c>
      <c r="K1" s="28" t="s">
        <v>7</v>
      </c>
      <c r="L1" s="28" t="s">
        <v>8</v>
      </c>
      <c r="M1" s="28" t="s">
        <v>9</v>
      </c>
      <c r="N1" s="28" t="s">
        <v>10</v>
      </c>
      <c r="O1" s="28" t="s">
        <v>11</v>
      </c>
    </row>
    <row r="2" spans="1:15">
      <c r="A2" s="34"/>
      <c r="B2" s="34" t="s">
        <v>12</v>
      </c>
      <c r="C2" s="34" t="s">
        <v>13</v>
      </c>
      <c r="D2" s="6" t="s">
        <v>14</v>
      </c>
      <c r="E2" s="18" t="s">
        <v>14</v>
      </c>
      <c r="F2" s="18" t="s">
        <v>14</v>
      </c>
      <c r="G2" s="18" t="s">
        <v>14</v>
      </c>
      <c r="H2" s="18" t="s">
        <v>14</v>
      </c>
      <c r="I2" s="18" t="s">
        <v>14</v>
      </c>
      <c r="J2" s="18" t="s">
        <v>14</v>
      </c>
      <c r="K2" s="18" t="s">
        <v>14</v>
      </c>
      <c r="L2" s="18" t="s">
        <v>14</v>
      </c>
      <c r="M2" s="18" t="s">
        <v>14</v>
      </c>
      <c r="N2" s="18" t="s">
        <v>14</v>
      </c>
      <c r="O2" s="18" t="s">
        <v>14</v>
      </c>
    </row>
    <row r="3" spans="1:15">
      <c r="A3" s="34" t="s">
        <v>15</v>
      </c>
      <c r="B3" s="34">
        <v>2139.9</v>
      </c>
      <c r="C3" s="34">
        <v>99.9016926288604</v>
      </c>
      <c r="D3" s="6">
        <f>SUM(B3:C3)</f>
        <v>2239.80169262886</v>
      </c>
      <c r="E3" s="6">
        <v>3600</v>
      </c>
      <c r="F3" s="35">
        <v>2.3165</v>
      </c>
      <c r="G3" s="35">
        <v>1.8889</v>
      </c>
      <c r="H3" s="35">
        <v>7.3879</v>
      </c>
      <c r="I3" s="35">
        <v>3.5403</v>
      </c>
      <c r="J3" s="35">
        <v>3.7626</v>
      </c>
      <c r="K3" s="35">
        <v>1.7653</v>
      </c>
      <c r="L3" s="35">
        <v>564.2002</v>
      </c>
      <c r="M3" s="35">
        <v>34.0267</v>
      </c>
      <c r="N3" s="35">
        <v>1017.1544</v>
      </c>
      <c r="O3" s="35">
        <v>400.3081</v>
      </c>
    </row>
    <row r="4" spans="1:15">
      <c r="A4" s="34" t="s">
        <v>16</v>
      </c>
      <c r="B4" s="34" t="s">
        <v>17</v>
      </c>
      <c r="C4" s="34">
        <v>198.332088470458</v>
      </c>
      <c r="D4" s="34">
        <v>198.332088470458</v>
      </c>
      <c r="E4" s="6">
        <v>3600</v>
      </c>
      <c r="F4" s="35">
        <v>3.1947</v>
      </c>
      <c r="G4" s="35">
        <v>2.7018</v>
      </c>
      <c r="H4" s="35">
        <v>9.0108</v>
      </c>
      <c r="I4" s="35">
        <v>4.5894</v>
      </c>
      <c r="J4" s="35">
        <v>4.6519</v>
      </c>
      <c r="K4" s="35">
        <v>2.6278</v>
      </c>
      <c r="L4" s="35">
        <v>598.1595</v>
      </c>
      <c r="M4" s="35">
        <v>38.9218</v>
      </c>
      <c r="N4" s="35">
        <v>1156.7759</v>
      </c>
      <c r="O4" s="35">
        <v>593.5503</v>
      </c>
    </row>
    <row r="5" spans="1:15">
      <c r="A5" s="34" t="s">
        <v>18</v>
      </c>
      <c r="B5" s="34" t="s">
        <v>17</v>
      </c>
      <c r="C5" s="34">
        <v>155.049693584442</v>
      </c>
      <c r="D5" s="34">
        <v>155.049693584442</v>
      </c>
      <c r="E5" s="6">
        <v>3600</v>
      </c>
      <c r="F5" s="35">
        <v>3.0241</v>
      </c>
      <c r="G5" s="35">
        <v>2.4064</v>
      </c>
      <c r="H5" s="35">
        <v>10.6804</v>
      </c>
      <c r="I5" s="35">
        <v>6.1569</v>
      </c>
      <c r="J5" s="35">
        <v>6.0319</v>
      </c>
      <c r="K5" s="35">
        <v>2.3318</v>
      </c>
      <c r="L5" s="35">
        <v>817.4286</v>
      </c>
      <c r="M5" s="35">
        <v>49.5475</v>
      </c>
      <c r="N5" s="35">
        <v>1615.0742</v>
      </c>
      <c r="O5" s="35">
        <v>510.6326</v>
      </c>
    </row>
    <row r="6" spans="1:15">
      <c r="A6" s="34" t="s">
        <v>19</v>
      </c>
      <c r="B6" s="34" t="s">
        <v>17</v>
      </c>
      <c r="C6" s="34">
        <v>157.506965160369</v>
      </c>
      <c r="D6" s="34">
        <v>157.506965160369</v>
      </c>
      <c r="E6" s="6">
        <v>3600</v>
      </c>
      <c r="F6" s="35">
        <v>4.1085</v>
      </c>
      <c r="G6" s="35">
        <v>3.3638</v>
      </c>
      <c r="H6" s="35">
        <v>12.5344</v>
      </c>
      <c r="I6" s="35">
        <v>7.2579</v>
      </c>
      <c r="J6" s="35">
        <v>7.0485</v>
      </c>
      <c r="K6" s="35">
        <v>3.3326</v>
      </c>
      <c r="L6" s="35">
        <v>810.8621</v>
      </c>
      <c r="M6" s="35">
        <v>51.3227</v>
      </c>
      <c r="N6" s="35">
        <v>1742.2412</v>
      </c>
      <c r="O6" s="35">
        <v>703.5669</v>
      </c>
    </row>
    <row r="7" spans="1:15">
      <c r="A7" s="34" t="s">
        <v>20</v>
      </c>
      <c r="B7" s="34" t="s">
        <v>17</v>
      </c>
      <c r="C7" s="34">
        <v>101.822031259536</v>
      </c>
      <c r="D7" s="34">
        <v>101.822031259536</v>
      </c>
      <c r="E7" s="6">
        <v>3600</v>
      </c>
      <c r="F7" s="35">
        <v>2.6857</v>
      </c>
      <c r="G7" s="35">
        <v>2.1628</v>
      </c>
      <c r="H7" s="35">
        <v>7.4136</v>
      </c>
      <c r="I7" s="35">
        <v>3.6937</v>
      </c>
      <c r="J7" s="35">
        <v>4.4067</v>
      </c>
      <c r="K7" s="35">
        <v>2.2</v>
      </c>
      <c r="L7" s="35">
        <v>687.8666</v>
      </c>
      <c r="M7" s="35">
        <v>31.8757</v>
      </c>
      <c r="N7" s="35">
        <v>770.2163</v>
      </c>
      <c r="O7" s="35">
        <v>467.0035</v>
      </c>
    </row>
    <row r="8" spans="1:15">
      <c r="A8" s="34" t="s">
        <v>21</v>
      </c>
      <c r="B8" s="34" t="s">
        <v>17</v>
      </c>
      <c r="C8" s="34">
        <v>101.652787685394</v>
      </c>
      <c r="D8" s="34">
        <v>101.652787685394</v>
      </c>
      <c r="E8" s="6">
        <v>3600</v>
      </c>
      <c r="F8" s="35">
        <v>4.387</v>
      </c>
      <c r="G8" s="35">
        <v>3.7872</v>
      </c>
      <c r="H8" s="35">
        <v>10.8356</v>
      </c>
      <c r="I8" s="35">
        <v>5.5062</v>
      </c>
      <c r="J8" s="35">
        <v>6.23</v>
      </c>
      <c r="K8" s="35">
        <v>3.5088</v>
      </c>
      <c r="L8" s="35">
        <v>808.7696</v>
      </c>
      <c r="M8" s="35">
        <v>40.6861</v>
      </c>
      <c r="N8" s="35">
        <v>956.8528</v>
      </c>
      <c r="O8" s="35">
        <v>759.5643</v>
      </c>
    </row>
    <row r="9" spans="1:15">
      <c r="A9" s="34" t="s">
        <v>22</v>
      </c>
      <c r="B9" s="34" t="s">
        <v>17</v>
      </c>
      <c r="C9" s="34">
        <v>158.328052520751</v>
      </c>
      <c r="D9" s="34">
        <v>158.328052520751</v>
      </c>
      <c r="E9" s="6">
        <v>3600</v>
      </c>
      <c r="F9" s="35">
        <v>3.6865</v>
      </c>
      <c r="G9" s="35">
        <v>2.8283</v>
      </c>
      <c r="H9" s="35">
        <v>11.4064</v>
      </c>
      <c r="I9" s="35">
        <v>6.5027</v>
      </c>
      <c r="J9" s="35">
        <v>7.8563</v>
      </c>
      <c r="K9" s="35">
        <v>2.8823</v>
      </c>
      <c r="L9" s="35">
        <v>1118.4019</v>
      </c>
      <c r="M9" s="35">
        <v>47.8267</v>
      </c>
      <c r="N9" s="35">
        <v>1361.8619</v>
      </c>
      <c r="O9" s="35">
        <v>627.4876</v>
      </c>
    </row>
    <row r="10" spans="1:15">
      <c r="A10" s="34" t="s">
        <v>23</v>
      </c>
      <c r="B10" s="34" t="s">
        <v>17</v>
      </c>
      <c r="C10" s="34">
        <v>160.798186063766</v>
      </c>
      <c r="D10" s="34">
        <v>160.798186063766</v>
      </c>
      <c r="E10" s="6">
        <v>3600</v>
      </c>
      <c r="F10" s="35">
        <v>5.1593</v>
      </c>
      <c r="G10" s="35">
        <v>4.2812</v>
      </c>
      <c r="H10" s="35">
        <v>13.623</v>
      </c>
      <c r="I10" s="35">
        <v>7.799</v>
      </c>
      <c r="J10" s="35">
        <v>8.9219</v>
      </c>
      <c r="K10" s="35">
        <v>4.0751</v>
      </c>
      <c r="L10" s="35">
        <v>1139.4946</v>
      </c>
      <c r="M10" s="35">
        <v>54.1673</v>
      </c>
      <c r="N10" s="35">
        <v>1481.1196</v>
      </c>
      <c r="O10" s="35">
        <v>898.8951</v>
      </c>
    </row>
    <row r="11" spans="1:15">
      <c r="A11" s="34" t="s">
        <v>24</v>
      </c>
      <c r="B11" s="34" t="s">
        <v>17</v>
      </c>
      <c r="C11" s="34">
        <v>160.112545013427</v>
      </c>
      <c r="D11" s="34">
        <v>160.112545013427</v>
      </c>
      <c r="E11" s="6">
        <v>3600</v>
      </c>
      <c r="F11" s="35">
        <v>4.2541</v>
      </c>
      <c r="G11" s="35">
        <v>3.4891</v>
      </c>
      <c r="H11" s="35">
        <v>9.7285</v>
      </c>
      <c r="I11" s="35">
        <v>5.0745</v>
      </c>
      <c r="J11" s="35">
        <v>6.6075</v>
      </c>
      <c r="K11" s="35">
        <v>3.3441</v>
      </c>
      <c r="L11" s="35">
        <v>1110.0524</v>
      </c>
      <c r="M11" s="35">
        <v>36.5912</v>
      </c>
      <c r="N11" s="35">
        <v>651.1331</v>
      </c>
      <c r="O11" s="35">
        <v>725.1668</v>
      </c>
    </row>
    <row r="12" spans="1:15">
      <c r="A12" s="34" t="s">
        <v>25</v>
      </c>
      <c r="B12" s="34" t="s">
        <v>17</v>
      </c>
      <c r="C12" s="34">
        <v>106.185470581054</v>
      </c>
      <c r="D12" s="34">
        <v>106.185470581054</v>
      </c>
      <c r="E12" s="6">
        <v>3600</v>
      </c>
      <c r="F12" s="35">
        <v>6.4945</v>
      </c>
      <c r="G12" s="35">
        <v>5.446</v>
      </c>
      <c r="H12" s="35">
        <v>13.4901</v>
      </c>
      <c r="I12" s="35">
        <v>6.9234</v>
      </c>
      <c r="J12" s="35">
        <v>8.6431</v>
      </c>
      <c r="K12" s="35">
        <v>5.2754</v>
      </c>
      <c r="L12" s="35">
        <v>1212.7112</v>
      </c>
      <c r="M12" s="35">
        <v>48.3792</v>
      </c>
      <c r="N12" s="35">
        <v>716.1292</v>
      </c>
      <c r="O12" s="35">
        <v>1133.9525</v>
      </c>
    </row>
    <row r="13" spans="1:15">
      <c r="A13" s="34" t="s">
        <v>26</v>
      </c>
      <c r="B13" s="34" t="s">
        <v>17</v>
      </c>
      <c r="C13" s="34">
        <v>165.842685699462</v>
      </c>
      <c r="D13" s="34">
        <v>165.842685699462</v>
      </c>
      <c r="E13" s="6">
        <v>3600</v>
      </c>
      <c r="F13" s="35">
        <v>5.123</v>
      </c>
      <c r="G13" s="35">
        <v>4.1844</v>
      </c>
      <c r="H13" s="35">
        <v>13.6217</v>
      </c>
      <c r="I13" s="35">
        <v>7.3667</v>
      </c>
      <c r="J13" s="35">
        <v>10.9231</v>
      </c>
      <c r="K13" s="35">
        <v>4.022</v>
      </c>
      <c r="L13" s="35">
        <v>1718.2453</v>
      </c>
      <c r="M13" s="35">
        <v>50.8245</v>
      </c>
      <c r="N13" s="35">
        <v>1089.856</v>
      </c>
      <c r="O13" s="35">
        <v>860.085</v>
      </c>
    </row>
    <row r="14" spans="1:15">
      <c r="A14" s="34" t="s">
        <v>27</v>
      </c>
      <c r="B14" s="34" t="s">
        <v>17</v>
      </c>
      <c r="C14" s="34">
        <v>169.927919387817</v>
      </c>
      <c r="D14" s="34">
        <v>169.927919387817</v>
      </c>
      <c r="E14" s="6">
        <v>3600</v>
      </c>
      <c r="F14" s="35">
        <v>7.2609</v>
      </c>
      <c r="G14" s="35">
        <v>5.9411</v>
      </c>
      <c r="H14" s="35">
        <v>15.9162</v>
      </c>
      <c r="I14" s="35">
        <v>9.0236</v>
      </c>
      <c r="J14" s="35">
        <v>12.1668</v>
      </c>
      <c r="K14" s="35">
        <v>5.7706</v>
      </c>
      <c r="L14" s="35">
        <v>1697.4292</v>
      </c>
      <c r="M14" s="35">
        <v>59.678</v>
      </c>
      <c r="N14" s="35">
        <v>1114.7834</v>
      </c>
      <c r="O14" s="35">
        <v>1200.3062</v>
      </c>
    </row>
    <row r="15" s="19" customFormat="1" ht="14.25" spans="1:15">
      <c r="A15" s="36" t="s">
        <v>28</v>
      </c>
      <c r="B15" s="36">
        <v>2139.9</v>
      </c>
      <c r="C15" s="36">
        <f>SUM(C3:C14)</f>
        <v>1735.46011805534</v>
      </c>
      <c r="D15" s="36">
        <f>SUM(D3:D14)</f>
        <v>3875.36011805534</v>
      </c>
      <c r="E15" s="19">
        <f>SUM(E3:E14)</f>
        <v>43200</v>
      </c>
      <c r="F15" s="19">
        <f>SUM(F3:F14)</f>
        <v>51.6948</v>
      </c>
      <c r="G15" s="19">
        <f>SUM(G3:G14)</f>
        <v>42.481</v>
      </c>
      <c r="H15" s="19">
        <f>SUM(H3:H14)</f>
        <v>135.6486</v>
      </c>
      <c r="I15" s="19">
        <f>SUM(I3:I14)</f>
        <v>73.4343</v>
      </c>
      <c r="J15" s="19">
        <f>SUM(J3:J14)</f>
        <v>87.2503</v>
      </c>
      <c r="K15" s="19">
        <f>SUM(K3:K14)</f>
        <v>41.1358</v>
      </c>
      <c r="L15" s="19">
        <f>SUM(L3:L14)</f>
        <v>12283.6212</v>
      </c>
      <c r="M15" s="19">
        <f>SUM(M3:M14)</f>
        <v>543.8474</v>
      </c>
      <c r="N15" s="19">
        <f>SUM(N3:N14)</f>
        <v>13673.198</v>
      </c>
      <c r="O15" s="19">
        <f>SUM(O3:O14)</f>
        <v>8880.5189</v>
      </c>
    </row>
    <row r="16" spans="1:15">
      <c r="A16" s="34" t="s">
        <v>29</v>
      </c>
      <c r="B16" s="34">
        <v>3951.8</v>
      </c>
      <c r="C16" s="34">
        <v>158.136787652969</v>
      </c>
      <c r="D16" s="6">
        <f>SUM(B16:C16)</f>
        <v>4109.93678765297</v>
      </c>
      <c r="E16" s="6">
        <v>3600</v>
      </c>
      <c r="F16" s="35">
        <v>2.2</v>
      </c>
      <c r="G16" s="35">
        <v>1.96</v>
      </c>
      <c r="H16" s="35">
        <v>10.91</v>
      </c>
      <c r="I16" s="35">
        <v>6.1</v>
      </c>
      <c r="J16" s="35">
        <v>6.22</v>
      </c>
      <c r="K16" s="35">
        <v>2.82</v>
      </c>
      <c r="L16" s="35">
        <v>782.39</v>
      </c>
      <c r="M16" s="35">
        <v>44.62</v>
      </c>
      <c r="N16" s="35">
        <v>3050.57</v>
      </c>
      <c r="O16" s="35">
        <v>442.15</v>
      </c>
    </row>
    <row r="17" spans="1:15">
      <c r="A17" s="34" t="s">
        <v>30</v>
      </c>
      <c r="B17" s="34" t="s">
        <v>17</v>
      </c>
      <c r="C17" s="34">
        <v>158.781175613403</v>
      </c>
      <c r="D17" s="34">
        <v>158.781175613403</v>
      </c>
      <c r="E17" s="6">
        <v>3600</v>
      </c>
      <c r="F17" s="35">
        <v>2.6</v>
      </c>
      <c r="G17" s="35">
        <v>2.5</v>
      </c>
      <c r="H17" s="35">
        <v>22.52</v>
      </c>
      <c r="I17" s="35">
        <v>12.5</v>
      </c>
      <c r="J17" s="35">
        <v>12.99</v>
      </c>
      <c r="K17" s="35">
        <v>5.03</v>
      </c>
      <c r="L17" s="35">
        <v>664.42</v>
      </c>
      <c r="M17" s="35">
        <v>44.18</v>
      </c>
      <c r="N17" s="35">
        <v>3750</v>
      </c>
      <c r="O17" s="35">
        <v>608.02</v>
      </c>
    </row>
    <row r="18" spans="1:15">
      <c r="A18" s="34" t="s">
        <v>31</v>
      </c>
      <c r="B18" s="34" t="s">
        <v>17</v>
      </c>
      <c r="C18" s="34">
        <v>249.859205007553</v>
      </c>
      <c r="D18" s="34">
        <v>249.859205007553</v>
      </c>
      <c r="E18" s="6">
        <v>3600</v>
      </c>
      <c r="F18" s="35">
        <v>3.7978</v>
      </c>
      <c r="G18" s="35">
        <v>2.8283</v>
      </c>
      <c r="H18" s="35">
        <v>18.2596</v>
      </c>
      <c r="I18" s="35">
        <v>9.5293</v>
      </c>
      <c r="J18" s="35">
        <v>9.5033</v>
      </c>
      <c r="K18" s="35">
        <v>2.8473</v>
      </c>
      <c r="L18" s="35">
        <v>1020.167</v>
      </c>
      <c r="M18" s="35">
        <v>68.2843</v>
      </c>
      <c r="N18" s="35">
        <v>5442.102</v>
      </c>
      <c r="O18" s="35">
        <v>650.2034</v>
      </c>
    </row>
    <row r="19" spans="1:15">
      <c r="A19" s="34" t="s">
        <v>32</v>
      </c>
      <c r="B19" s="34" t="s">
        <v>17</v>
      </c>
      <c r="C19" s="34">
        <v>256.553250074386</v>
      </c>
      <c r="D19" s="34">
        <v>256.553250074386</v>
      </c>
      <c r="E19" s="6">
        <v>3600</v>
      </c>
      <c r="F19" s="35">
        <v>3.6393</v>
      </c>
      <c r="G19" s="35">
        <v>20.9577</v>
      </c>
      <c r="H19" s="35">
        <v>15.8955</v>
      </c>
      <c r="I19" s="35">
        <v>8.0912</v>
      </c>
      <c r="J19" s="35">
        <v>7.7636</v>
      </c>
      <c r="K19" s="35">
        <v>12.6103</v>
      </c>
      <c r="L19" s="35">
        <v>786.8865</v>
      </c>
      <c r="M19" s="35">
        <v>52.1503</v>
      </c>
      <c r="N19" s="35">
        <v>4374.8192</v>
      </c>
      <c r="O19" s="35">
        <v>632.2111</v>
      </c>
    </row>
    <row r="20" spans="1:15">
      <c r="A20" s="34" t="s">
        <v>33</v>
      </c>
      <c r="B20" s="34" t="s">
        <v>17</v>
      </c>
      <c r="C20" s="34">
        <v>157.450333118438</v>
      </c>
      <c r="D20" s="34">
        <v>157.450333118438</v>
      </c>
      <c r="E20" s="6">
        <v>3600</v>
      </c>
      <c r="F20" s="37">
        <v>1.7474</v>
      </c>
      <c r="G20" s="37">
        <v>1.4469</v>
      </c>
      <c r="H20" s="37">
        <v>6.1201</v>
      </c>
      <c r="I20" s="37">
        <v>2.9774</v>
      </c>
      <c r="J20" s="37">
        <v>3.6125</v>
      </c>
      <c r="K20" s="37">
        <v>1.4167</v>
      </c>
      <c r="L20" s="37">
        <v>511.9612</v>
      </c>
      <c r="M20" s="37">
        <v>24.2271</v>
      </c>
      <c r="N20" s="37">
        <v>1459.3678</v>
      </c>
      <c r="O20" s="37">
        <v>318.8093</v>
      </c>
    </row>
    <row r="21" spans="1:15">
      <c r="A21" s="34" t="s">
        <v>34</v>
      </c>
      <c r="B21" s="34" t="s">
        <v>17</v>
      </c>
      <c r="C21" s="34">
        <v>159.207649469375</v>
      </c>
      <c r="D21" s="34">
        <v>159.207649469375</v>
      </c>
      <c r="E21" s="6">
        <v>3600</v>
      </c>
      <c r="F21" s="35">
        <v>2.7682</v>
      </c>
      <c r="G21" s="35">
        <v>2.2689</v>
      </c>
      <c r="H21" s="35">
        <v>8.0535</v>
      </c>
      <c r="I21" s="35">
        <v>4.0414</v>
      </c>
      <c r="J21" s="35">
        <v>4.752</v>
      </c>
      <c r="K21" s="35">
        <v>2.1908</v>
      </c>
      <c r="L21" s="35">
        <v>571.3683</v>
      </c>
      <c r="M21" s="35">
        <v>29.1101</v>
      </c>
      <c r="N21" s="35">
        <v>1774.5562</v>
      </c>
      <c r="O21" s="35">
        <v>495.3624</v>
      </c>
    </row>
    <row r="22" spans="1:15">
      <c r="A22" s="34" t="s">
        <v>35</v>
      </c>
      <c r="B22" s="34" t="s">
        <v>17</v>
      </c>
      <c r="C22" s="34">
        <v>259.198580503463</v>
      </c>
      <c r="D22" s="34">
        <v>259.198580503463</v>
      </c>
      <c r="E22" s="6">
        <v>3600</v>
      </c>
      <c r="F22" s="35">
        <v>2.6854</v>
      </c>
      <c r="G22" s="35">
        <v>16.6757</v>
      </c>
      <c r="H22" s="35">
        <v>10.495</v>
      </c>
      <c r="I22" s="35">
        <v>6.0054</v>
      </c>
      <c r="J22" s="35">
        <v>10.7088</v>
      </c>
      <c r="K22" s="35">
        <v>2.0306</v>
      </c>
      <c r="L22" s="35">
        <v>882.684</v>
      </c>
      <c r="M22" s="35">
        <v>40.5871</v>
      </c>
      <c r="N22" s="35">
        <v>2655.1069</v>
      </c>
      <c r="O22" s="35">
        <v>444.657</v>
      </c>
    </row>
    <row r="23" spans="1:15">
      <c r="A23" s="34" t="s">
        <v>36</v>
      </c>
      <c r="B23" s="34" t="s">
        <v>17</v>
      </c>
      <c r="C23" s="34">
        <v>262.196438789367</v>
      </c>
      <c r="D23" s="34">
        <v>262.196438789367</v>
      </c>
      <c r="E23" s="6">
        <v>3600</v>
      </c>
      <c r="F23" s="35">
        <v>4.3026</v>
      </c>
      <c r="G23" s="35">
        <v>16.2387</v>
      </c>
      <c r="H23" s="35">
        <v>27.5756</v>
      </c>
      <c r="I23" s="35">
        <v>20.2493</v>
      </c>
      <c r="J23" s="35">
        <v>13.8754</v>
      </c>
      <c r="K23" s="35">
        <v>8.7188</v>
      </c>
      <c r="L23" s="35">
        <v>1041.9667</v>
      </c>
      <c r="M23" s="35">
        <v>50.106</v>
      </c>
      <c r="N23" s="35">
        <v>3533.1446</v>
      </c>
      <c r="O23" s="35">
        <v>738.6753</v>
      </c>
    </row>
    <row r="24" ht="13" customHeight="1" spans="1:15">
      <c r="A24" s="34" t="s">
        <v>37</v>
      </c>
      <c r="B24" s="34" t="s">
        <v>17</v>
      </c>
      <c r="C24" s="34">
        <v>160.764709472656</v>
      </c>
      <c r="D24" s="34">
        <v>160.764709472656</v>
      </c>
      <c r="E24" s="6">
        <v>3600</v>
      </c>
      <c r="F24" s="35">
        <v>3.8585</v>
      </c>
      <c r="G24" s="35">
        <v>3.1044</v>
      </c>
      <c r="H24" s="35">
        <v>39.6575</v>
      </c>
      <c r="I24" s="35">
        <v>5.0456</v>
      </c>
      <c r="J24" s="35">
        <v>7.8197</v>
      </c>
      <c r="K24" s="35">
        <v>7.9578</v>
      </c>
      <c r="L24" s="35">
        <v>1125.8544</v>
      </c>
      <c r="M24" s="35">
        <v>37.2643</v>
      </c>
      <c r="N24" s="35">
        <v>1704.3151</v>
      </c>
      <c r="O24" s="35">
        <v>660.7761</v>
      </c>
    </row>
    <row r="25" spans="1:15">
      <c r="A25" s="34" t="s">
        <v>38</v>
      </c>
      <c r="B25" s="34" t="s">
        <v>17</v>
      </c>
      <c r="C25" s="34">
        <v>165.240481853485</v>
      </c>
      <c r="D25" s="34">
        <v>165.240481853485</v>
      </c>
      <c r="E25" s="6">
        <v>3600</v>
      </c>
      <c r="F25" s="35">
        <v>4.979</v>
      </c>
      <c r="G25" s="35">
        <v>4.2802</v>
      </c>
      <c r="H25" s="35">
        <v>37.2181</v>
      </c>
      <c r="I25" s="35">
        <v>16.357</v>
      </c>
      <c r="J25" s="35">
        <v>8.6467</v>
      </c>
      <c r="K25" s="35">
        <v>10.2043</v>
      </c>
      <c r="L25" s="35">
        <v>1062.5961</v>
      </c>
      <c r="M25" s="35">
        <v>40.447</v>
      </c>
      <c r="N25" s="35">
        <v>1740.863</v>
      </c>
      <c r="O25" s="35">
        <v>882.1996</v>
      </c>
    </row>
    <row r="26" spans="1:15">
      <c r="A26" s="34" t="s">
        <v>39</v>
      </c>
      <c r="B26" s="34" t="s">
        <v>17</v>
      </c>
      <c r="C26" s="34">
        <v>273.385338544845</v>
      </c>
      <c r="D26" s="34">
        <v>273.385338544845</v>
      </c>
      <c r="E26" s="6">
        <v>3600</v>
      </c>
      <c r="F26" s="35">
        <v>6.6489</v>
      </c>
      <c r="G26" s="35">
        <v>5.4399</v>
      </c>
      <c r="H26" s="35">
        <v>21.5649</v>
      </c>
      <c r="I26" s="35">
        <v>11.5971</v>
      </c>
      <c r="J26" s="35">
        <v>17.9544</v>
      </c>
      <c r="K26" s="35">
        <v>5.0688</v>
      </c>
      <c r="L26" s="35">
        <v>2225.3288</v>
      </c>
      <c r="M26" s="35">
        <v>70.4817</v>
      </c>
      <c r="N26" s="35">
        <v>3621.6099</v>
      </c>
      <c r="O26" s="35">
        <v>1109.8951</v>
      </c>
    </row>
    <row r="27" spans="1:15">
      <c r="A27" s="34" t="s">
        <v>40</v>
      </c>
      <c r="B27" s="34" t="s">
        <v>17</v>
      </c>
      <c r="C27" s="34">
        <v>277.497348308563</v>
      </c>
      <c r="D27" s="34">
        <v>277.497348308563</v>
      </c>
      <c r="E27" s="6">
        <v>3600</v>
      </c>
      <c r="F27" s="35">
        <v>9.0955</v>
      </c>
      <c r="G27" s="35">
        <v>7.1838</v>
      </c>
      <c r="H27" s="35">
        <v>24.0114</v>
      </c>
      <c r="I27" s="35">
        <v>13.2896</v>
      </c>
      <c r="J27" s="35">
        <v>19.6444</v>
      </c>
      <c r="K27" s="35">
        <v>7.0732</v>
      </c>
      <c r="L27" s="35">
        <v>2180.2947</v>
      </c>
      <c r="M27" s="35">
        <v>77.4478</v>
      </c>
      <c r="N27" s="35">
        <v>3925.2067</v>
      </c>
      <c r="O27" s="35">
        <v>1522.2403</v>
      </c>
    </row>
    <row r="28" s="19" customFormat="1" ht="14.25" spans="1:15">
      <c r="A28" s="36" t="s">
        <v>28</v>
      </c>
      <c r="B28" s="36">
        <v>3951.8</v>
      </c>
      <c r="C28" s="36">
        <f>SUM(C16:C27)</f>
        <v>2538.2712984085</v>
      </c>
      <c r="D28" s="36">
        <f>SUM(D16:D27)</f>
        <v>6490.0712984085</v>
      </c>
      <c r="E28" s="19">
        <f>SUM(E16:E27)</f>
        <v>43200</v>
      </c>
      <c r="F28" s="19">
        <f>SUM(F16:F27)</f>
        <v>48.3226</v>
      </c>
      <c r="G28" s="19">
        <f>SUM(G16:G27)</f>
        <v>84.8845</v>
      </c>
      <c r="H28" s="19">
        <f>SUM(H16:H27)</f>
        <v>242.2812</v>
      </c>
      <c r="I28" s="19">
        <f>SUM(I16:I27)</f>
        <v>115.7833</v>
      </c>
      <c r="J28" s="19">
        <f>SUM(J16:J27)</f>
        <v>123.4908</v>
      </c>
      <c r="K28" s="19">
        <f>SUM(K16:K27)</f>
        <v>67.9686</v>
      </c>
      <c r="L28" s="19">
        <f>SUM(L16:L27)</f>
        <v>12855.9177</v>
      </c>
      <c r="M28" s="19">
        <f>SUM(M16:M27)</f>
        <v>578.9057</v>
      </c>
      <c r="N28" s="19">
        <f>SUM(N16:N27)</f>
        <v>37031.6614</v>
      </c>
      <c r="O28" s="19">
        <f>SUM(O16:O27)</f>
        <v>8505.1996</v>
      </c>
    </row>
    <row r="29" spans="1:15">
      <c r="A29" s="34" t="s">
        <v>41</v>
      </c>
      <c r="B29" s="34">
        <v>6272.45</v>
      </c>
      <c r="C29" s="34">
        <v>216.187338590621</v>
      </c>
      <c r="D29" s="6">
        <f>SUM(B29:C29)</f>
        <v>6488.63733859062</v>
      </c>
      <c r="E29" s="6">
        <v>3600</v>
      </c>
      <c r="F29" s="35">
        <v>2.96</v>
      </c>
      <c r="G29" s="35">
        <v>1.8</v>
      </c>
      <c r="H29" s="35">
        <v>14.2</v>
      </c>
      <c r="I29" s="35">
        <v>7.7</v>
      </c>
      <c r="J29" s="35">
        <v>6</v>
      </c>
      <c r="K29" s="35">
        <v>1.84</v>
      </c>
      <c r="L29" s="35">
        <v>835.53</v>
      </c>
      <c r="M29" s="35">
        <v>46.86</v>
      </c>
      <c r="N29" s="35">
        <v>6150.65</v>
      </c>
      <c r="O29" s="35">
        <v>581.58</v>
      </c>
    </row>
    <row r="30" spans="1:15">
      <c r="A30" s="34" t="s">
        <v>42</v>
      </c>
      <c r="B30" s="34" t="s">
        <v>17</v>
      </c>
      <c r="C30" s="34">
        <v>218.455255508422</v>
      </c>
      <c r="D30" s="34">
        <v>218.455255508422</v>
      </c>
      <c r="E30" s="6">
        <v>3600</v>
      </c>
      <c r="F30" s="35">
        <v>3.02</v>
      </c>
      <c r="G30" s="35">
        <v>2.5</v>
      </c>
      <c r="H30" s="35">
        <v>11.36</v>
      </c>
      <c r="I30" s="35">
        <v>6</v>
      </c>
      <c r="J30" s="35">
        <v>6.9</v>
      </c>
      <c r="K30" s="35">
        <v>2.21</v>
      </c>
      <c r="L30" s="35">
        <v>513.01</v>
      </c>
      <c r="M30" s="35">
        <v>37.41</v>
      </c>
      <c r="N30" s="35">
        <v>6686.52</v>
      </c>
      <c r="O30" s="35">
        <v>964.26</v>
      </c>
    </row>
    <row r="31" spans="1:15">
      <c r="A31" s="34" t="s">
        <v>43</v>
      </c>
      <c r="B31" s="34" t="s">
        <v>17</v>
      </c>
      <c r="C31" s="34">
        <v>350.06669473648</v>
      </c>
      <c r="D31" s="34">
        <v>350.06669473648</v>
      </c>
      <c r="E31" s="6">
        <v>3600</v>
      </c>
      <c r="F31" s="35">
        <v>2.5</v>
      </c>
      <c r="G31" s="35">
        <v>1.8</v>
      </c>
      <c r="H31" s="35">
        <v>14.58</v>
      </c>
      <c r="I31" s="35">
        <v>9.37</v>
      </c>
      <c r="J31" s="35">
        <v>7.5</v>
      </c>
      <c r="K31" s="35">
        <v>1.9</v>
      </c>
      <c r="L31" s="35">
        <v>731.69</v>
      </c>
      <c r="M31" s="35">
        <v>51.8</v>
      </c>
      <c r="N31" s="35">
        <v>10923.74</v>
      </c>
      <c r="O31" s="35">
        <v>565.36</v>
      </c>
    </row>
    <row r="32" spans="1:15">
      <c r="A32" s="34" t="s">
        <v>44</v>
      </c>
      <c r="B32" s="34" t="s">
        <v>17</v>
      </c>
      <c r="C32" s="34">
        <v>359.386162757873</v>
      </c>
      <c r="D32" s="34">
        <v>359.386162757873</v>
      </c>
      <c r="E32" s="6">
        <v>3600</v>
      </c>
      <c r="F32" s="35">
        <v>4.31</v>
      </c>
      <c r="G32" s="35">
        <v>3</v>
      </c>
      <c r="H32" s="35">
        <v>17.3</v>
      </c>
      <c r="I32" s="35">
        <v>10.47</v>
      </c>
      <c r="J32" s="35">
        <v>8.9</v>
      </c>
      <c r="K32" s="35">
        <v>3.5</v>
      </c>
      <c r="L32" s="35">
        <v>812.19</v>
      </c>
      <c r="M32" s="35">
        <v>63.05</v>
      </c>
      <c r="N32" s="35">
        <v>13974.8</v>
      </c>
      <c r="O32" s="35">
        <v>1400.93</v>
      </c>
    </row>
    <row r="33" spans="1:15">
      <c r="A33" s="34" t="s">
        <v>45</v>
      </c>
      <c r="B33" s="34" t="s">
        <v>17</v>
      </c>
      <c r="C33" s="34">
        <v>221.632305145263</v>
      </c>
      <c r="D33" s="34">
        <v>221.632305145263</v>
      </c>
      <c r="E33" s="6">
        <v>3600</v>
      </c>
      <c r="F33" s="27">
        <v>4.2</v>
      </c>
      <c r="G33" s="27">
        <v>4.54</v>
      </c>
      <c r="H33" s="27">
        <v>24.05</v>
      </c>
      <c r="I33" s="27">
        <v>9.5</v>
      </c>
      <c r="J33" s="27">
        <v>10.62</v>
      </c>
      <c r="K33" s="27">
        <v>6.45</v>
      </c>
      <c r="L33" s="27">
        <v>1583.4</v>
      </c>
      <c r="M33" s="27">
        <v>74.08</v>
      </c>
      <c r="N33" s="27">
        <v>6169.22</v>
      </c>
      <c r="O33" s="27">
        <v>807.89</v>
      </c>
    </row>
    <row r="34" spans="1:15">
      <c r="A34" s="34" t="s">
        <v>46</v>
      </c>
      <c r="B34" s="34" t="s">
        <v>17</v>
      </c>
      <c r="C34" s="34">
        <v>226.548070669174</v>
      </c>
      <c r="D34" s="34">
        <v>226.548070669174</v>
      </c>
      <c r="E34" s="6">
        <v>3600</v>
      </c>
      <c r="F34" s="35">
        <v>4.16</v>
      </c>
      <c r="G34" s="35">
        <v>3.6</v>
      </c>
      <c r="H34" s="35">
        <v>15.44</v>
      </c>
      <c r="I34" s="35">
        <v>8.51</v>
      </c>
      <c r="J34" s="35">
        <v>8.6</v>
      </c>
      <c r="K34" s="35">
        <v>7.44</v>
      </c>
      <c r="L34" s="35">
        <v>909.5</v>
      </c>
      <c r="M34" s="35">
        <v>47.16</v>
      </c>
      <c r="N34" s="35">
        <v>5792.94</v>
      </c>
      <c r="O34" s="35">
        <v>992.05</v>
      </c>
    </row>
    <row r="35" spans="1:15">
      <c r="A35" s="34" t="s">
        <v>47</v>
      </c>
      <c r="B35" s="34" t="s">
        <v>17</v>
      </c>
      <c r="C35" s="34">
        <v>367.788229942321</v>
      </c>
      <c r="D35" s="34">
        <v>367.788229942321</v>
      </c>
      <c r="E35" s="6">
        <v>3600</v>
      </c>
      <c r="F35" s="35">
        <v>3.6</v>
      </c>
      <c r="G35" s="35">
        <v>3.3</v>
      </c>
      <c r="H35" s="35">
        <v>37.77</v>
      </c>
      <c r="I35" s="35">
        <v>20.58</v>
      </c>
      <c r="J35" s="35">
        <v>18.91</v>
      </c>
      <c r="K35" s="35">
        <v>5.83</v>
      </c>
      <c r="L35" s="35">
        <v>1570.45</v>
      </c>
      <c r="M35" s="35">
        <v>85.85</v>
      </c>
      <c r="N35" s="35">
        <v>11464.8</v>
      </c>
      <c r="O35" s="35">
        <v>1068.45</v>
      </c>
    </row>
    <row r="36" spans="1:15">
      <c r="A36" s="34" t="s">
        <v>48</v>
      </c>
      <c r="B36" s="34" t="s">
        <v>17</v>
      </c>
      <c r="C36" s="34">
        <v>377.936593294143</v>
      </c>
      <c r="D36" s="34">
        <v>377.936593294143</v>
      </c>
      <c r="E36" s="6">
        <v>3600</v>
      </c>
      <c r="F36" s="35">
        <v>5.21</v>
      </c>
      <c r="G36" s="35">
        <v>4.84</v>
      </c>
      <c r="H36" s="35">
        <v>21.16</v>
      </c>
      <c r="I36" s="35">
        <v>9.4</v>
      </c>
      <c r="J36" s="35">
        <v>11.59</v>
      </c>
      <c r="K36" s="35">
        <v>4.9</v>
      </c>
      <c r="L36" s="35">
        <v>1072.47</v>
      </c>
      <c r="M36" s="35">
        <v>54.49</v>
      </c>
      <c r="N36" s="35">
        <v>6595.54</v>
      </c>
      <c r="O36" s="35">
        <v>803.93</v>
      </c>
    </row>
    <row r="37" spans="1:15">
      <c r="A37" s="34" t="s">
        <v>49</v>
      </c>
      <c r="B37" s="34" t="s">
        <v>17</v>
      </c>
      <c r="C37" s="34">
        <v>229.569182872772</v>
      </c>
      <c r="D37" s="34">
        <v>229.569182872772</v>
      </c>
      <c r="E37" s="6">
        <v>3600</v>
      </c>
      <c r="F37" s="35">
        <v>7.2</v>
      </c>
      <c r="G37" s="35">
        <v>6.85</v>
      </c>
      <c r="H37" s="35">
        <v>25.14</v>
      </c>
      <c r="I37" s="35">
        <v>9.5</v>
      </c>
      <c r="J37" s="35">
        <v>16.1</v>
      </c>
      <c r="K37" s="35">
        <v>7.31</v>
      </c>
      <c r="L37" s="35">
        <v>1812.61</v>
      </c>
      <c r="M37" s="35">
        <v>45.22</v>
      </c>
      <c r="N37" s="35">
        <v>3581.3</v>
      </c>
      <c r="O37" s="35">
        <v>848.63</v>
      </c>
    </row>
    <row r="38" spans="1:15">
      <c r="A38" s="34" t="s">
        <v>50</v>
      </c>
      <c r="B38" s="34" t="s">
        <v>17</v>
      </c>
      <c r="C38" s="34">
        <v>227.058892011642</v>
      </c>
      <c r="D38" s="34">
        <v>227.058892011642</v>
      </c>
      <c r="E38" s="6">
        <v>3600</v>
      </c>
      <c r="F38" s="35">
        <v>8.2</v>
      </c>
      <c r="G38" s="35">
        <v>7.1</v>
      </c>
      <c r="H38" s="35">
        <v>31.92</v>
      </c>
      <c r="I38" s="35">
        <v>13.01</v>
      </c>
      <c r="J38" s="35">
        <v>24.19</v>
      </c>
      <c r="K38" s="35">
        <v>9.22</v>
      </c>
      <c r="L38" s="35">
        <v>2477.22</v>
      </c>
      <c r="M38" s="35">
        <v>110.52</v>
      </c>
      <c r="N38" s="35">
        <v>7722.05</v>
      </c>
      <c r="O38" s="35">
        <v>2129.38</v>
      </c>
    </row>
    <row r="39" spans="1:15">
      <c r="A39" s="34" t="s">
        <v>51</v>
      </c>
      <c r="B39" s="34" t="s">
        <v>17</v>
      </c>
      <c r="C39" s="34">
        <v>379.094349384307</v>
      </c>
      <c r="D39" s="34">
        <v>379.094349384307</v>
      </c>
      <c r="E39" s="6">
        <v>3600</v>
      </c>
      <c r="F39" s="35">
        <v>7.36</v>
      </c>
      <c r="G39" s="35">
        <v>7.53</v>
      </c>
      <c r="H39" s="35">
        <v>36.79</v>
      </c>
      <c r="I39" s="35">
        <v>14.81</v>
      </c>
      <c r="J39" s="35">
        <v>28.86</v>
      </c>
      <c r="K39" s="35">
        <v>4.2</v>
      </c>
      <c r="L39" s="35">
        <v>3291</v>
      </c>
      <c r="M39" s="35">
        <v>107.27</v>
      </c>
      <c r="N39" s="35">
        <v>6245.55</v>
      </c>
      <c r="O39" s="35">
        <v>948.94</v>
      </c>
    </row>
    <row r="40" spans="1:15">
      <c r="A40" s="34" t="s">
        <v>52</v>
      </c>
      <c r="B40" s="34" t="s">
        <v>17</v>
      </c>
      <c r="C40" s="34">
        <v>387.842056512832</v>
      </c>
      <c r="D40" s="34">
        <v>387.842056512832</v>
      </c>
      <c r="E40" s="6">
        <v>3600</v>
      </c>
      <c r="F40" s="35">
        <v>7.2</v>
      </c>
      <c r="G40" s="35">
        <v>5.7</v>
      </c>
      <c r="H40" s="35">
        <v>23.28</v>
      </c>
      <c r="I40" s="35">
        <v>11</v>
      </c>
      <c r="J40" s="35">
        <v>18.8</v>
      </c>
      <c r="K40" s="35">
        <v>5.07</v>
      </c>
      <c r="L40" s="35">
        <v>1702.62</v>
      </c>
      <c r="M40" s="35">
        <v>61.43</v>
      </c>
      <c r="N40" s="35">
        <v>6911.15</v>
      </c>
      <c r="O40" s="35">
        <v>1239.63</v>
      </c>
    </row>
    <row r="41" s="19" customFormat="1" ht="14.25" spans="1:15">
      <c r="A41" s="36" t="s">
        <v>28</v>
      </c>
      <c r="B41" s="36">
        <v>6272.45</v>
      </c>
      <c r="C41" s="36">
        <f>SUM(C29:C40)</f>
        <v>3561.56513142585</v>
      </c>
      <c r="D41" s="38">
        <f>SUM(D29:D40)</f>
        <v>9834.01513142585</v>
      </c>
      <c r="E41" s="19">
        <f>SUM(E29:E40)</f>
        <v>43200</v>
      </c>
      <c r="F41" s="19">
        <f>SUM(F29:F40)</f>
        <v>59.92</v>
      </c>
      <c r="G41" s="19">
        <f>SUM(G29:G40)</f>
        <v>52.56</v>
      </c>
      <c r="H41" s="19">
        <f>SUM(H29:H40)</f>
        <v>272.99</v>
      </c>
      <c r="I41" s="19">
        <f>SUM(I29:I40)</f>
        <v>129.85</v>
      </c>
      <c r="J41" s="19">
        <f>SUM(J29:J40)</f>
        <v>166.97</v>
      </c>
      <c r="K41" s="19">
        <f>SUM(K29:K40)</f>
        <v>59.87</v>
      </c>
      <c r="L41" s="19">
        <f>SUM(L29:L40)</f>
        <v>17311.69</v>
      </c>
      <c r="M41" s="19">
        <f>SUM(M29:M40)</f>
        <v>785.14</v>
      </c>
      <c r="N41" s="19">
        <f>SUM(N29:N40)</f>
        <v>92218.26</v>
      </c>
      <c r="O41" s="19">
        <f>SUM(O29:O40)</f>
        <v>12351.03</v>
      </c>
    </row>
    <row r="42" spans="1:15">
      <c r="A42" s="31" t="s">
        <v>53</v>
      </c>
      <c r="C42" s="6">
        <v>1659.26490592957</v>
      </c>
      <c r="D42" s="6">
        <v>1659.26490592957</v>
      </c>
      <c r="F42" s="39">
        <f>F41*100</f>
        <v>5992</v>
      </c>
      <c r="G42" s="39">
        <f>G41*100</f>
        <v>5256</v>
      </c>
      <c r="H42" s="39">
        <f>H41*100</f>
        <v>27299</v>
      </c>
      <c r="I42" s="39">
        <f>I41*100</f>
        <v>12985</v>
      </c>
      <c r="J42" s="39">
        <f>J41*100</f>
        <v>16697</v>
      </c>
      <c r="K42" s="39">
        <f>K41*100</f>
        <v>5987</v>
      </c>
      <c r="L42" s="39">
        <f>L41*100</f>
        <v>1731169</v>
      </c>
      <c r="M42" s="39">
        <f>M41*100</f>
        <v>78514</v>
      </c>
      <c r="N42" s="39">
        <f>N41*100</f>
        <v>9221826</v>
      </c>
      <c r="O42" s="39">
        <f>O41*100</f>
        <v>1235103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2"/>
  <sheetViews>
    <sheetView topLeftCell="T1" workbookViewId="0">
      <selection activeCell="AL3" sqref="AL3:AL12"/>
    </sheetView>
  </sheetViews>
  <sheetFormatPr defaultColWidth="9" defaultRowHeight="13.5"/>
  <cols>
    <col min="1" max="3" width="9" style="28"/>
  </cols>
  <sheetData>
    <row r="1" ht="15" spans="1:38">
      <c r="A1" s="29" t="s">
        <v>15</v>
      </c>
      <c r="B1" s="29" t="s">
        <v>15</v>
      </c>
      <c r="C1" s="29" t="s">
        <v>16</v>
      </c>
      <c r="D1" s="29" t="s">
        <v>18</v>
      </c>
      <c r="E1" s="29" t="s">
        <v>19</v>
      </c>
      <c r="F1" s="29" t="s">
        <v>20</v>
      </c>
      <c r="G1" s="29" t="s">
        <v>21</v>
      </c>
      <c r="H1" s="29" t="s">
        <v>22</v>
      </c>
      <c r="I1" s="29" t="s">
        <v>23</v>
      </c>
      <c r="J1" s="29" t="s">
        <v>24</v>
      </c>
      <c r="K1" s="29" t="s">
        <v>25</v>
      </c>
      <c r="L1" s="29" t="s">
        <v>26</v>
      </c>
      <c r="M1" s="29" t="s">
        <v>27</v>
      </c>
      <c r="N1" s="30" t="s">
        <v>54</v>
      </c>
      <c r="O1" s="31" t="s">
        <v>55</v>
      </c>
      <c r="P1" s="31" t="s">
        <v>56</v>
      </c>
      <c r="Q1" s="31" t="s">
        <v>57</v>
      </c>
      <c r="R1" s="30" t="s">
        <v>58</v>
      </c>
      <c r="S1" s="31" t="s">
        <v>59</v>
      </c>
      <c r="T1" s="31" t="s">
        <v>60</v>
      </c>
      <c r="U1" s="31" t="s">
        <v>61</v>
      </c>
      <c r="V1" s="30" t="s">
        <v>62</v>
      </c>
      <c r="W1" s="31" t="s">
        <v>63</v>
      </c>
      <c r="X1" s="31" t="s">
        <v>64</v>
      </c>
      <c r="Y1" s="31" t="s">
        <v>65</v>
      </c>
      <c r="Z1" s="32" t="s">
        <v>66</v>
      </c>
      <c r="AA1" s="31" t="s">
        <v>67</v>
      </c>
      <c r="AB1" s="31" t="s">
        <v>68</v>
      </c>
      <c r="AC1" s="31" t="s">
        <v>69</v>
      </c>
      <c r="AD1" s="30" t="s">
        <v>70</v>
      </c>
      <c r="AE1" s="31" t="s">
        <v>71</v>
      </c>
      <c r="AF1" s="31" t="s">
        <v>72</v>
      </c>
      <c r="AG1" s="31" t="s">
        <v>73</v>
      </c>
      <c r="AH1" s="30" t="s">
        <v>74</v>
      </c>
      <c r="AI1" s="31" t="s">
        <v>75</v>
      </c>
      <c r="AJ1" s="31" t="s">
        <v>76</v>
      </c>
      <c r="AK1" s="31" t="s">
        <v>77</v>
      </c>
      <c r="AL1" s="31" t="s">
        <v>53</v>
      </c>
    </row>
    <row r="2" spans="1:38">
      <c r="A2" s="28" t="s">
        <v>78</v>
      </c>
      <c r="B2" s="28" t="s">
        <v>79</v>
      </c>
    </row>
    <row r="3" spans="1:38">
      <c r="A3" s="28" t="s">
        <v>2</v>
      </c>
      <c r="B3" s="28">
        <v>2.3165</v>
      </c>
      <c r="C3" s="28">
        <v>3.1947</v>
      </c>
      <c r="D3" s="28">
        <v>3.0241</v>
      </c>
      <c r="E3" s="28">
        <v>4.1085</v>
      </c>
      <c r="F3" s="28">
        <v>2.6857</v>
      </c>
      <c r="G3" s="28">
        <v>4.387</v>
      </c>
      <c r="H3" s="28">
        <v>3.6865</v>
      </c>
      <c r="I3" s="28">
        <v>5.1593</v>
      </c>
      <c r="J3" s="28">
        <v>4.2541</v>
      </c>
      <c r="K3" s="28">
        <v>6.4945</v>
      </c>
      <c r="L3" s="28">
        <v>5.123</v>
      </c>
      <c r="M3" s="28">
        <v>7.2609</v>
      </c>
      <c r="N3" s="28">
        <v>2.2</v>
      </c>
      <c r="O3" s="28">
        <v>2.6</v>
      </c>
      <c r="P3" s="28">
        <v>3.7978</v>
      </c>
      <c r="Q3" s="28">
        <v>3.6393</v>
      </c>
      <c r="R3" s="33">
        <v>1.7474</v>
      </c>
      <c r="S3" s="28">
        <v>2.7682</v>
      </c>
      <c r="T3" s="28">
        <v>2.6854</v>
      </c>
      <c r="U3" s="28">
        <v>4.3026</v>
      </c>
      <c r="V3" s="28">
        <v>3.8585</v>
      </c>
      <c r="W3" s="28">
        <v>4.979</v>
      </c>
      <c r="X3" s="28">
        <v>6.6489</v>
      </c>
      <c r="Y3" s="28">
        <v>9.0955</v>
      </c>
      <c r="Z3" s="28">
        <v>2.96</v>
      </c>
      <c r="AA3" s="28">
        <v>3.02</v>
      </c>
      <c r="AB3" s="28">
        <v>2.5</v>
      </c>
      <c r="AC3" s="28">
        <v>4.31</v>
      </c>
      <c r="AD3">
        <v>4.2</v>
      </c>
      <c r="AE3" s="28">
        <v>4.16</v>
      </c>
      <c r="AF3" s="28">
        <v>3.6</v>
      </c>
      <c r="AG3" s="28">
        <v>5.21</v>
      </c>
      <c r="AH3" s="28">
        <v>7.2</v>
      </c>
      <c r="AI3" s="28">
        <v>8.2</v>
      </c>
      <c r="AJ3" s="28">
        <v>7.36</v>
      </c>
      <c r="AK3" s="28">
        <v>7.2</v>
      </c>
      <c r="AL3" s="28">
        <v>10.6121</v>
      </c>
    </row>
    <row r="4" spans="1:38">
      <c r="A4" s="28" t="s">
        <v>3</v>
      </c>
      <c r="B4" s="28">
        <v>1.8889</v>
      </c>
      <c r="C4" s="28">
        <v>2.7018</v>
      </c>
      <c r="D4" s="28">
        <v>2.4064</v>
      </c>
      <c r="E4" s="28">
        <v>3.3638</v>
      </c>
      <c r="F4" s="28">
        <v>2.1628</v>
      </c>
      <c r="G4" s="28">
        <v>3.7872</v>
      </c>
      <c r="H4" s="28">
        <v>2.8283</v>
      </c>
      <c r="I4" s="28">
        <v>4.2812</v>
      </c>
      <c r="J4" s="28">
        <v>3.4891</v>
      </c>
      <c r="K4" s="28">
        <v>5.446</v>
      </c>
      <c r="L4" s="28">
        <v>4.1844</v>
      </c>
      <c r="M4" s="28">
        <v>5.9411</v>
      </c>
      <c r="N4" s="28">
        <v>1.96</v>
      </c>
      <c r="O4" s="28">
        <v>2.5</v>
      </c>
      <c r="P4" s="28">
        <v>2.8283</v>
      </c>
      <c r="Q4" s="28">
        <v>20.9577</v>
      </c>
      <c r="R4" s="33">
        <v>1.4469</v>
      </c>
      <c r="S4" s="28">
        <v>2.2689</v>
      </c>
      <c r="T4" s="28">
        <v>16.6757</v>
      </c>
      <c r="U4" s="28">
        <v>16.2387</v>
      </c>
      <c r="V4" s="28">
        <v>3.1044</v>
      </c>
      <c r="W4" s="28">
        <v>4.2802</v>
      </c>
      <c r="X4" s="28">
        <v>5.4399</v>
      </c>
      <c r="Y4" s="28">
        <v>7.1838</v>
      </c>
      <c r="Z4" s="28">
        <v>1.8</v>
      </c>
      <c r="AA4" s="28">
        <v>2.5</v>
      </c>
      <c r="AB4" s="28">
        <v>1.8</v>
      </c>
      <c r="AC4" s="28">
        <v>3</v>
      </c>
      <c r="AD4">
        <v>4.54</v>
      </c>
      <c r="AE4" s="28">
        <v>3.6</v>
      </c>
      <c r="AF4" s="28">
        <v>3.3</v>
      </c>
      <c r="AG4" s="28">
        <v>4.84</v>
      </c>
      <c r="AH4" s="28">
        <v>6.85</v>
      </c>
      <c r="AI4" s="28">
        <v>7.1</v>
      </c>
      <c r="AJ4" s="28">
        <v>7.53</v>
      </c>
      <c r="AK4" s="28">
        <v>5.7</v>
      </c>
      <c r="AL4" s="28">
        <v>7.9346</v>
      </c>
    </row>
    <row r="5" spans="1:38">
      <c r="A5" s="28" t="s">
        <v>4</v>
      </c>
      <c r="B5" s="28">
        <v>7.3879</v>
      </c>
      <c r="C5" s="28">
        <v>9.0108</v>
      </c>
      <c r="D5" s="28">
        <v>10.6804</v>
      </c>
      <c r="E5" s="28">
        <v>12.5344</v>
      </c>
      <c r="F5" s="28">
        <v>7.4136</v>
      </c>
      <c r="G5" s="28">
        <v>10.8356</v>
      </c>
      <c r="H5" s="28">
        <v>11.4064</v>
      </c>
      <c r="I5" s="28">
        <v>13.623</v>
      </c>
      <c r="J5" s="28">
        <v>9.7285</v>
      </c>
      <c r="K5" s="28">
        <v>13.4901</v>
      </c>
      <c r="L5" s="28">
        <v>13.6217</v>
      </c>
      <c r="M5" s="28">
        <v>15.9162</v>
      </c>
      <c r="N5" s="28">
        <v>10.91</v>
      </c>
      <c r="O5" s="28">
        <v>22.52</v>
      </c>
      <c r="P5" s="28">
        <v>18.2596</v>
      </c>
      <c r="Q5" s="28">
        <v>15.8955</v>
      </c>
      <c r="R5" s="33">
        <v>6.1201</v>
      </c>
      <c r="S5" s="28">
        <v>8.0535</v>
      </c>
      <c r="T5" s="28">
        <v>10.495</v>
      </c>
      <c r="U5" s="28">
        <v>27.5756</v>
      </c>
      <c r="V5" s="28">
        <v>39.6575</v>
      </c>
      <c r="W5" s="28">
        <v>37.2181</v>
      </c>
      <c r="X5" s="28">
        <v>21.5649</v>
      </c>
      <c r="Y5" s="28">
        <v>24.0114</v>
      </c>
      <c r="Z5" s="28">
        <v>14.2</v>
      </c>
      <c r="AA5" s="28">
        <v>11.36</v>
      </c>
      <c r="AB5" s="28">
        <v>14.58</v>
      </c>
      <c r="AC5" s="28">
        <v>17.3</v>
      </c>
      <c r="AD5">
        <v>24.05</v>
      </c>
      <c r="AE5" s="28">
        <v>15.44</v>
      </c>
      <c r="AF5" s="28">
        <v>37.77</v>
      </c>
      <c r="AG5" s="28">
        <v>21.16</v>
      </c>
      <c r="AH5" s="28">
        <v>25.14</v>
      </c>
      <c r="AI5" s="28">
        <v>31.92</v>
      </c>
      <c r="AJ5" s="28">
        <v>36.79</v>
      </c>
      <c r="AK5" s="28">
        <v>23.28</v>
      </c>
      <c r="AL5" s="28">
        <v>44.18</v>
      </c>
    </row>
    <row r="6" spans="1:38">
      <c r="A6" s="28" t="s">
        <v>5</v>
      </c>
      <c r="B6" s="28">
        <v>3.5403</v>
      </c>
      <c r="C6" s="28">
        <v>4.5894</v>
      </c>
      <c r="D6" s="28">
        <v>6.1569</v>
      </c>
      <c r="E6" s="28">
        <v>7.2579</v>
      </c>
      <c r="F6" s="28">
        <v>3.6937</v>
      </c>
      <c r="G6" s="28">
        <v>5.5062</v>
      </c>
      <c r="H6" s="28">
        <v>6.5027</v>
      </c>
      <c r="I6" s="28">
        <v>7.799</v>
      </c>
      <c r="J6" s="28">
        <v>5.0745</v>
      </c>
      <c r="K6" s="28">
        <v>6.9234</v>
      </c>
      <c r="L6" s="28">
        <v>7.3667</v>
      </c>
      <c r="M6" s="28">
        <v>9.0236</v>
      </c>
      <c r="N6" s="28">
        <v>6.1</v>
      </c>
      <c r="O6" s="28">
        <v>12.5</v>
      </c>
      <c r="P6" s="28">
        <v>9.5293</v>
      </c>
      <c r="Q6" s="28">
        <v>8.0912</v>
      </c>
      <c r="R6" s="33">
        <v>2.9774</v>
      </c>
      <c r="S6" s="28">
        <v>4.0414</v>
      </c>
      <c r="T6" s="28">
        <v>6.0054</v>
      </c>
      <c r="U6" s="28">
        <v>20.2493</v>
      </c>
      <c r="V6" s="28">
        <v>5.0456</v>
      </c>
      <c r="W6" s="28">
        <v>16.357</v>
      </c>
      <c r="X6" s="28">
        <v>11.5971</v>
      </c>
      <c r="Y6" s="28">
        <v>13.2896</v>
      </c>
      <c r="Z6" s="28">
        <v>7.7</v>
      </c>
      <c r="AA6" s="28">
        <v>6</v>
      </c>
      <c r="AB6" s="28">
        <v>9.37</v>
      </c>
      <c r="AC6" s="28">
        <v>10.47</v>
      </c>
      <c r="AD6">
        <v>9.5</v>
      </c>
      <c r="AE6" s="28">
        <v>8.51</v>
      </c>
      <c r="AF6" s="28">
        <v>20.58</v>
      </c>
      <c r="AG6" s="28">
        <v>9.4</v>
      </c>
      <c r="AH6" s="28">
        <v>9.5</v>
      </c>
      <c r="AI6" s="28">
        <v>13.01</v>
      </c>
      <c r="AJ6" s="28">
        <v>14.81</v>
      </c>
      <c r="AK6" s="28">
        <v>11</v>
      </c>
      <c r="AL6" s="28">
        <v>27.5691</v>
      </c>
    </row>
    <row r="7" spans="1:38">
      <c r="A7" s="28" t="s">
        <v>6</v>
      </c>
      <c r="B7" s="28">
        <v>3.7626</v>
      </c>
      <c r="C7" s="28">
        <v>4.6519</v>
      </c>
      <c r="D7" s="28">
        <v>6.0319</v>
      </c>
      <c r="E7" s="28">
        <v>7.0485</v>
      </c>
      <c r="F7" s="28">
        <v>4.4067</v>
      </c>
      <c r="G7" s="28">
        <v>6.23</v>
      </c>
      <c r="H7" s="28">
        <v>7.8563</v>
      </c>
      <c r="I7" s="28">
        <v>8.9219</v>
      </c>
      <c r="J7" s="28">
        <v>6.6075</v>
      </c>
      <c r="K7" s="28">
        <v>8.6431</v>
      </c>
      <c r="L7" s="28">
        <v>10.9231</v>
      </c>
      <c r="M7" s="28">
        <v>12.1668</v>
      </c>
      <c r="N7" s="28">
        <v>6.22</v>
      </c>
      <c r="O7" s="28">
        <v>12.99</v>
      </c>
      <c r="P7" s="28">
        <v>9.5033</v>
      </c>
      <c r="Q7" s="28">
        <v>7.7636</v>
      </c>
      <c r="R7" s="33">
        <v>3.6125</v>
      </c>
      <c r="S7" s="28">
        <v>4.752</v>
      </c>
      <c r="T7" s="28">
        <v>10.7088</v>
      </c>
      <c r="U7" s="28">
        <v>13.8754</v>
      </c>
      <c r="V7" s="28">
        <v>7.8197</v>
      </c>
      <c r="W7" s="28">
        <v>8.6467</v>
      </c>
      <c r="X7" s="28">
        <v>17.9544</v>
      </c>
      <c r="Y7" s="28">
        <v>19.6444</v>
      </c>
      <c r="Z7" s="28">
        <v>6</v>
      </c>
      <c r="AA7" s="28">
        <v>6.9</v>
      </c>
      <c r="AB7" s="28">
        <v>7.5</v>
      </c>
      <c r="AC7" s="28">
        <v>8.9</v>
      </c>
      <c r="AD7">
        <v>10.62</v>
      </c>
      <c r="AE7" s="28">
        <v>8.6</v>
      </c>
      <c r="AF7" s="28">
        <v>18.91</v>
      </c>
      <c r="AG7" s="28">
        <v>11.59</v>
      </c>
      <c r="AH7" s="28">
        <v>16.1</v>
      </c>
      <c r="AI7" s="28">
        <v>24.19</v>
      </c>
      <c r="AJ7" s="28">
        <v>28.86</v>
      </c>
      <c r="AK7" s="28">
        <v>18.8</v>
      </c>
      <c r="AL7" s="28">
        <v>42.6276</v>
      </c>
    </row>
    <row r="8" spans="1:38">
      <c r="A8" s="28" t="s">
        <v>7</v>
      </c>
      <c r="B8" s="28">
        <v>1.7653</v>
      </c>
      <c r="C8" s="28">
        <v>2.6278</v>
      </c>
      <c r="D8" s="28">
        <v>2.3318</v>
      </c>
      <c r="E8" s="28">
        <v>3.3326</v>
      </c>
      <c r="F8" s="28">
        <v>2.2</v>
      </c>
      <c r="G8" s="28">
        <v>3.5088</v>
      </c>
      <c r="H8" s="28">
        <v>2.8823</v>
      </c>
      <c r="I8" s="28">
        <v>4.0751</v>
      </c>
      <c r="J8" s="28">
        <v>3.3441</v>
      </c>
      <c r="K8" s="28">
        <v>5.2754</v>
      </c>
      <c r="L8" s="28">
        <v>4.022</v>
      </c>
      <c r="M8" s="28">
        <v>5.7706</v>
      </c>
      <c r="N8" s="28">
        <v>2.82</v>
      </c>
      <c r="O8" s="28">
        <v>5.03</v>
      </c>
      <c r="P8" s="28">
        <v>2.8473</v>
      </c>
      <c r="Q8" s="28">
        <v>12.6103</v>
      </c>
      <c r="R8" s="33">
        <v>1.4167</v>
      </c>
      <c r="S8" s="28">
        <v>2.1908</v>
      </c>
      <c r="T8" s="28">
        <v>2.0306</v>
      </c>
      <c r="U8" s="28">
        <v>8.7188</v>
      </c>
      <c r="V8" s="28">
        <v>7.9578</v>
      </c>
      <c r="W8" s="28">
        <v>10.2043</v>
      </c>
      <c r="X8" s="28">
        <v>5.0688</v>
      </c>
      <c r="Y8" s="28">
        <v>7.0732</v>
      </c>
      <c r="Z8" s="28">
        <v>1.84</v>
      </c>
      <c r="AA8" s="28">
        <v>2.21</v>
      </c>
      <c r="AB8" s="28">
        <v>1.9</v>
      </c>
      <c r="AC8" s="28">
        <v>3.5</v>
      </c>
      <c r="AD8">
        <v>6.45</v>
      </c>
      <c r="AE8" s="28">
        <v>7.44</v>
      </c>
      <c r="AF8" s="28">
        <v>5.83</v>
      </c>
      <c r="AG8" s="28">
        <v>4.9</v>
      </c>
      <c r="AH8" s="28">
        <v>7.31</v>
      </c>
      <c r="AI8" s="28">
        <v>9.22</v>
      </c>
      <c r="AJ8" s="28">
        <v>4.2</v>
      </c>
      <c r="AK8" s="28">
        <v>5.07</v>
      </c>
      <c r="AL8" s="28">
        <v>7.7145</v>
      </c>
    </row>
    <row r="9" spans="1:38">
      <c r="A9" s="28" t="s">
        <v>8</v>
      </c>
      <c r="B9" s="28">
        <v>564.2002</v>
      </c>
      <c r="C9" s="28">
        <v>598.1595</v>
      </c>
      <c r="D9" s="28">
        <v>817.4286</v>
      </c>
      <c r="E9" s="28">
        <v>810.8621</v>
      </c>
      <c r="F9" s="28">
        <v>687.8666</v>
      </c>
      <c r="G9" s="28">
        <v>808.7696</v>
      </c>
      <c r="H9" s="28">
        <v>1118.4019</v>
      </c>
      <c r="I9" s="28">
        <v>1139.4946</v>
      </c>
      <c r="J9" s="28">
        <v>1110.0524</v>
      </c>
      <c r="K9" s="28">
        <v>1212.7112</v>
      </c>
      <c r="L9" s="28">
        <v>1718.2453</v>
      </c>
      <c r="M9" s="28">
        <v>1697.4292</v>
      </c>
      <c r="N9" s="28">
        <v>782.39</v>
      </c>
      <c r="O9" s="28">
        <v>664.42</v>
      </c>
      <c r="P9" s="28">
        <v>1020.167</v>
      </c>
      <c r="Q9" s="28">
        <v>786.8865</v>
      </c>
      <c r="R9" s="33">
        <v>511.9612</v>
      </c>
      <c r="S9" s="28">
        <v>571.3683</v>
      </c>
      <c r="T9" s="28">
        <v>882.684</v>
      </c>
      <c r="U9" s="28">
        <v>1041.9667</v>
      </c>
      <c r="V9" s="28">
        <v>1125.8544</v>
      </c>
      <c r="W9" s="28">
        <v>1062.5961</v>
      </c>
      <c r="X9" s="28">
        <v>2225.3288</v>
      </c>
      <c r="Y9" s="28">
        <v>2180.2947</v>
      </c>
      <c r="Z9" s="28">
        <v>835.53</v>
      </c>
      <c r="AA9" s="28">
        <v>513.01</v>
      </c>
      <c r="AB9" s="28">
        <v>731.69</v>
      </c>
      <c r="AC9" s="28">
        <v>812.19</v>
      </c>
      <c r="AD9">
        <v>1583.4</v>
      </c>
      <c r="AE9" s="28">
        <v>909.5</v>
      </c>
      <c r="AF9" s="28">
        <v>1570.45</v>
      </c>
      <c r="AG9" s="28">
        <v>1072.47</v>
      </c>
      <c r="AH9" s="28">
        <v>1812.61</v>
      </c>
      <c r="AI9" s="28">
        <v>2477.22</v>
      </c>
      <c r="AJ9" s="28">
        <v>3291</v>
      </c>
      <c r="AK9" s="28">
        <v>1702.62</v>
      </c>
      <c r="AL9" s="28">
        <v>2286.3038</v>
      </c>
    </row>
    <row r="10" spans="1:38">
      <c r="A10" s="28" t="s">
        <v>9</v>
      </c>
      <c r="B10" s="28">
        <v>34.0267</v>
      </c>
      <c r="C10" s="28">
        <v>38.9218</v>
      </c>
      <c r="D10" s="28">
        <v>49.5475</v>
      </c>
      <c r="E10" s="28">
        <v>51.3227</v>
      </c>
      <c r="F10" s="28">
        <v>31.8757</v>
      </c>
      <c r="G10" s="28">
        <v>40.6861</v>
      </c>
      <c r="H10" s="28">
        <v>47.8267</v>
      </c>
      <c r="I10" s="28">
        <v>54.1673</v>
      </c>
      <c r="J10" s="28">
        <v>36.5912</v>
      </c>
      <c r="K10" s="28">
        <v>48.3792</v>
      </c>
      <c r="L10" s="28">
        <v>50.8245</v>
      </c>
      <c r="M10" s="28">
        <v>59.678</v>
      </c>
      <c r="N10" s="28">
        <v>44.62</v>
      </c>
      <c r="O10" s="28">
        <v>44.18</v>
      </c>
      <c r="P10" s="28">
        <v>68.2843</v>
      </c>
      <c r="Q10" s="28">
        <v>52.1503</v>
      </c>
      <c r="R10" s="33">
        <v>24.2271</v>
      </c>
      <c r="S10" s="28">
        <v>29.1101</v>
      </c>
      <c r="T10" s="28">
        <v>40.5871</v>
      </c>
      <c r="U10" s="28">
        <v>50.106</v>
      </c>
      <c r="V10" s="28">
        <v>37.2643</v>
      </c>
      <c r="W10" s="28">
        <v>40.447</v>
      </c>
      <c r="X10" s="28">
        <v>70.4817</v>
      </c>
      <c r="Y10" s="28">
        <v>77.4478</v>
      </c>
      <c r="Z10" s="28">
        <v>46.86</v>
      </c>
      <c r="AA10" s="28">
        <v>37.41</v>
      </c>
      <c r="AB10" s="28">
        <v>51.8</v>
      </c>
      <c r="AC10" s="28">
        <v>63.05</v>
      </c>
      <c r="AD10">
        <v>74.08</v>
      </c>
      <c r="AE10" s="28">
        <v>47.16</v>
      </c>
      <c r="AF10" s="28">
        <v>85.85</v>
      </c>
      <c r="AG10" s="28">
        <v>54.49</v>
      </c>
      <c r="AH10" s="28">
        <v>45.22</v>
      </c>
      <c r="AI10" s="28">
        <v>110.52</v>
      </c>
      <c r="AJ10" s="28">
        <v>107.27</v>
      </c>
      <c r="AK10" s="28">
        <v>61.43</v>
      </c>
      <c r="AL10" s="28">
        <v>105.261</v>
      </c>
    </row>
    <row r="11" spans="1:38">
      <c r="A11" s="28" t="s">
        <v>10</v>
      </c>
      <c r="B11" s="28">
        <v>1017.1544</v>
      </c>
      <c r="C11" s="28">
        <v>1156.7759</v>
      </c>
      <c r="D11" s="28">
        <v>1615.0742</v>
      </c>
      <c r="E11" s="28">
        <v>1742.2412</v>
      </c>
      <c r="F11" s="28">
        <v>770.2163</v>
      </c>
      <c r="G11" s="28">
        <v>956.8528</v>
      </c>
      <c r="H11" s="28">
        <v>1361.8619</v>
      </c>
      <c r="I11" s="28">
        <v>1481.1196</v>
      </c>
      <c r="J11" s="28">
        <v>651.1331</v>
      </c>
      <c r="K11" s="28">
        <v>716.1292</v>
      </c>
      <c r="L11" s="28">
        <v>1089.856</v>
      </c>
      <c r="M11" s="28">
        <v>1114.7834</v>
      </c>
      <c r="N11" s="28">
        <v>3050.57</v>
      </c>
      <c r="O11" s="28">
        <v>3750</v>
      </c>
      <c r="P11" s="28">
        <v>5442.102</v>
      </c>
      <c r="Q11" s="28">
        <v>4374.8192</v>
      </c>
      <c r="R11" s="33">
        <v>1459.3678</v>
      </c>
      <c r="S11" s="28">
        <v>1774.5562</v>
      </c>
      <c r="T11" s="28">
        <v>2655.1069</v>
      </c>
      <c r="U11" s="28">
        <v>3533.1446</v>
      </c>
      <c r="V11" s="28">
        <v>1704.3151</v>
      </c>
      <c r="W11" s="28">
        <v>1740.863</v>
      </c>
      <c r="X11" s="28">
        <v>3621.6099</v>
      </c>
      <c r="Y11" s="28">
        <v>3925.2067</v>
      </c>
      <c r="Z11" s="28">
        <v>6150.65</v>
      </c>
      <c r="AA11" s="28">
        <v>6686.52</v>
      </c>
      <c r="AB11" s="28">
        <v>10923.74</v>
      </c>
      <c r="AC11" s="28">
        <v>13974.8</v>
      </c>
      <c r="AD11">
        <v>6169.22</v>
      </c>
      <c r="AE11" s="28">
        <v>5792.94</v>
      </c>
      <c r="AF11" s="28">
        <v>11464.8</v>
      </c>
      <c r="AG11" s="28">
        <v>6595.54</v>
      </c>
      <c r="AH11" s="28">
        <v>3581.3</v>
      </c>
      <c r="AI11" s="28">
        <v>7722.05</v>
      </c>
      <c r="AJ11" s="28">
        <v>6245.55</v>
      </c>
      <c r="AK11" s="28">
        <v>6911.15</v>
      </c>
      <c r="AL11" s="28">
        <v>30438.9472</v>
      </c>
    </row>
    <row r="12" spans="1:38">
      <c r="A12" s="28" t="s">
        <v>11</v>
      </c>
      <c r="B12" s="28">
        <v>400.3081</v>
      </c>
      <c r="C12" s="28">
        <v>593.5503</v>
      </c>
      <c r="D12" s="28">
        <v>510.6326</v>
      </c>
      <c r="E12" s="28">
        <v>703.5669</v>
      </c>
      <c r="F12" s="28">
        <v>467.0035</v>
      </c>
      <c r="G12" s="28">
        <v>759.5643</v>
      </c>
      <c r="H12" s="28">
        <v>627.4876</v>
      </c>
      <c r="I12" s="28">
        <v>898.8951</v>
      </c>
      <c r="J12" s="28">
        <v>725.1668</v>
      </c>
      <c r="K12" s="28">
        <v>1133.9525</v>
      </c>
      <c r="L12" s="28">
        <v>860.085</v>
      </c>
      <c r="M12" s="28">
        <v>1200.3062</v>
      </c>
      <c r="N12" s="28">
        <v>442.15</v>
      </c>
      <c r="O12" s="28">
        <v>608.02</v>
      </c>
      <c r="P12" s="28">
        <v>650.2034</v>
      </c>
      <c r="Q12" s="28">
        <v>632.2111</v>
      </c>
      <c r="R12" s="33">
        <v>318.8093</v>
      </c>
      <c r="S12" s="28">
        <v>495.3624</v>
      </c>
      <c r="T12" s="28">
        <v>444.657</v>
      </c>
      <c r="U12" s="28">
        <v>738.6753</v>
      </c>
      <c r="V12" s="28">
        <v>660.7761</v>
      </c>
      <c r="W12" s="28">
        <v>882.1996</v>
      </c>
      <c r="X12" s="28">
        <v>1109.8951</v>
      </c>
      <c r="Y12" s="28">
        <v>1522.2403</v>
      </c>
      <c r="Z12" s="28">
        <v>581.58</v>
      </c>
      <c r="AA12" s="28">
        <v>964.26</v>
      </c>
      <c r="AB12" s="28">
        <v>565.36</v>
      </c>
      <c r="AC12" s="28">
        <v>1400.93</v>
      </c>
      <c r="AD12">
        <v>807.89</v>
      </c>
      <c r="AE12" s="28">
        <v>992.05</v>
      </c>
      <c r="AF12" s="28">
        <v>1068.45</v>
      </c>
      <c r="AG12" s="28">
        <v>803.93</v>
      </c>
      <c r="AH12" s="28">
        <v>848.63</v>
      </c>
      <c r="AI12" s="28">
        <v>2129.38</v>
      </c>
      <c r="AJ12" s="28">
        <v>948.94</v>
      </c>
      <c r="AK12" s="28">
        <v>1239.63</v>
      </c>
      <c r="AL12" s="28">
        <v>1733.0499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workbookViewId="0">
      <selection activeCell="L17" sqref="L17"/>
    </sheetView>
  </sheetViews>
  <sheetFormatPr defaultColWidth="9" defaultRowHeight="13.5"/>
  <cols>
    <col min="2" max="2" width="12.625" customWidth="1"/>
    <col min="3" max="5" width="10.375"/>
    <col min="8" max="10" width="9.375"/>
    <col min="12" max="12" width="11.5"/>
    <col min="13" max="13" width="9.375"/>
    <col min="14" max="14" width="11.5"/>
    <col min="15" max="15" width="10.375"/>
  </cols>
  <sheetData>
    <row r="1" s="18" customFormat="1" spans="1:15">
      <c r="A1" s="20"/>
      <c r="B1" s="1" t="s">
        <v>0</v>
      </c>
      <c r="C1" s="1"/>
      <c r="D1" s="1"/>
      <c r="E1" s="20" t="s">
        <v>1</v>
      </c>
      <c r="F1" s="21" t="s">
        <v>2</v>
      </c>
      <c r="G1" s="21" t="s">
        <v>3</v>
      </c>
      <c r="H1" s="21" t="s">
        <v>4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9</v>
      </c>
      <c r="N1" s="21" t="s">
        <v>10</v>
      </c>
      <c r="O1" s="21" t="s">
        <v>11</v>
      </c>
    </row>
    <row r="2" s="18" customFormat="1" spans="1:15">
      <c r="A2" s="4"/>
      <c r="B2" s="4" t="s">
        <v>12</v>
      </c>
      <c r="C2" s="4" t="s">
        <v>13</v>
      </c>
      <c r="D2" s="1" t="s">
        <v>80</v>
      </c>
      <c r="E2" s="20" t="s">
        <v>80</v>
      </c>
      <c r="F2" s="20" t="s">
        <v>80</v>
      </c>
      <c r="G2" s="20" t="s">
        <v>80</v>
      </c>
      <c r="H2" s="20" t="s">
        <v>80</v>
      </c>
      <c r="I2" s="20" t="s">
        <v>80</v>
      </c>
      <c r="J2" s="20" t="s">
        <v>80</v>
      </c>
      <c r="K2" s="20" t="s">
        <v>80</v>
      </c>
      <c r="L2" s="20" t="s">
        <v>80</v>
      </c>
      <c r="M2" s="20" t="s">
        <v>80</v>
      </c>
      <c r="N2" s="20" t="s">
        <v>80</v>
      </c>
      <c r="O2" s="20" t="s">
        <v>80</v>
      </c>
    </row>
    <row r="3" s="19" customFormat="1" spans="1:15">
      <c r="A3" s="22" t="s">
        <v>28</v>
      </c>
      <c r="B3" s="22">
        <v>2139.9</v>
      </c>
      <c r="C3" s="22">
        <v>1735.46011805534</v>
      </c>
      <c r="D3" s="22">
        <v>3875.36011805534</v>
      </c>
      <c r="E3" s="23">
        <v>43200</v>
      </c>
      <c r="F3" s="23">
        <v>51.6948</v>
      </c>
      <c r="G3" s="23">
        <v>42.481</v>
      </c>
      <c r="H3" s="23">
        <v>135.6486</v>
      </c>
      <c r="I3" s="23">
        <v>73.4343</v>
      </c>
      <c r="J3" s="23">
        <v>87.2503</v>
      </c>
      <c r="K3" s="23">
        <v>41.1358</v>
      </c>
      <c r="L3" s="23">
        <v>12283.6212</v>
      </c>
      <c r="M3" s="23">
        <v>543.8474</v>
      </c>
      <c r="N3" s="23">
        <v>13673.198</v>
      </c>
      <c r="O3" s="23">
        <v>8880.5189</v>
      </c>
    </row>
    <row r="4" s="19" customFormat="1" spans="1:15">
      <c r="A4" s="22" t="s">
        <v>28</v>
      </c>
      <c r="B4" s="22">
        <v>3951.8</v>
      </c>
      <c r="C4" s="22">
        <v>2538.2712984085</v>
      </c>
      <c r="D4" s="22">
        <v>6490.0712984085</v>
      </c>
      <c r="E4" s="23">
        <v>43200</v>
      </c>
      <c r="F4" s="23">
        <v>48.3226</v>
      </c>
      <c r="G4" s="23">
        <v>84.8845</v>
      </c>
      <c r="H4" s="23">
        <v>242.2812</v>
      </c>
      <c r="I4" s="23">
        <v>115.7833</v>
      </c>
      <c r="J4" s="23">
        <v>123.4908</v>
      </c>
      <c r="K4" s="23">
        <v>67.9686</v>
      </c>
      <c r="L4" s="23">
        <v>12855.9177</v>
      </c>
      <c r="M4" s="23">
        <v>578.9057</v>
      </c>
      <c r="N4" s="23">
        <v>37031.6614</v>
      </c>
      <c r="O4" s="23">
        <v>8505.1996</v>
      </c>
    </row>
    <row r="5" s="19" customFormat="1" spans="1:15">
      <c r="A5" s="24" t="s">
        <v>28</v>
      </c>
      <c r="B5" s="24">
        <v>6272.45</v>
      </c>
      <c r="C5" s="24">
        <v>3561.56513142585</v>
      </c>
      <c r="D5" s="25">
        <v>9834.01513142585</v>
      </c>
      <c r="E5" s="26">
        <v>43200</v>
      </c>
      <c r="F5" s="26">
        <v>59.92</v>
      </c>
      <c r="G5" s="26">
        <v>52.56</v>
      </c>
      <c r="H5" s="26">
        <v>272.99</v>
      </c>
      <c r="I5" s="26">
        <v>129.85</v>
      </c>
      <c r="J5" s="26">
        <v>166.97</v>
      </c>
      <c r="K5" s="26">
        <v>59.87</v>
      </c>
      <c r="L5" s="26">
        <v>17311.69</v>
      </c>
      <c r="M5" s="26">
        <v>785.14</v>
      </c>
      <c r="N5" s="26">
        <v>92218.26</v>
      </c>
      <c r="O5" s="26">
        <v>12351.03</v>
      </c>
    </row>
    <row r="10" spans="1:15">
      <c r="C10" t="s">
        <v>28</v>
      </c>
      <c r="D10" t="s">
        <v>28</v>
      </c>
      <c r="E10" t="s">
        <v>28</v>
      </c>
    </row>
    <row r="11" spans="1:15">
      <c r="A11" t="s">
        <v>0</v>
      </c>
      <c r="B11" t="s">
        <v>12</v>
      </c>
      <c r="C11" s="27">
        <v>2139.9</v>
      </c>
      <c r="D11" s="27">
        <v>3951.8</v>
      </c>
      <c r="E11" s="27">
        <v>6272.45</v>
      </c>
    </row>
    <row r="12" spans="1:15">
      <c r="B12" t="s">
        <v>13</v>
      </c>
      <c r="C12" s="27">
        <v>1735.46011805534</v>
      </c>
      <c r="D12" s="27">
        <v>2538.2712984085</v>
      </c>
      <c r="E12" s="27">
        <v>3561.56513142585</v>
      </c>
    </row>
    <row r="13" spans="1:15">
      <c r="B13" t="s">
        <v>80</v>
      </c>
      <c r="C13" s="27">
        <v>3875.36011805534</v>
      </c>
      <c r="D13" s="27">
        <v>6490.0712984085</v>
      </c>
      <c r="E13" s="27">
        <v>9834.01513142585</v>
      </c>
    </row>
    <row r="14" spans="1:15">
      <c r="A14" t="s">
        <v>1</v>
      </c>
      <c r="B14" t="s">
        <v>80</v>
      </c>
      <c r="C14" s="27">
        <v>43200</v>
      </c>
      <c r="D14" s="27">
        <v>43200</v>
      </c>
      <c r="E14" s="27">
        <v>43200</v>
      </c>
    </row>
    <row r="15" spans="1:15">
      <c r="A15" t="s">
        <v>2</v>
      </c>
      <c r="B15" t="s">
        <v>80</v>
      </c>
      <c r="C15" s="27">
        <v>51.6948</v>
      </c>
      <c r="D15" s="27">
        <v>48.3226</v>
      </c>
      <c r="E15" s="27">
        <v>59.92</v>
      </c>
    </row>
    <row r="16" spans="1:15">
      <c r="A16" t="s">
        <v>3</v>
      </c>
      <c r="B16" t="s">
        <v>80</v>
      </c>
      <c r="C16" s="27">
        <v>42.481</v>
      </c>
      <c r="D16" s="27">
        <v>84.8845</v>
      </c>
      <c r="E16" s="27">
        <v>52.56</v>
      </c>
    </row>
    <row r="17" spans="1:5">
      <c r="A17" t="s">
        <v>4</v>
      </c>
      <c r="B17" t="s">
        <v>80</v>
      </c>
      <c r="C17" s="27">
        <v>135.6486</v>
      </c>
      <c r="D17" s="27">
        <v>242.2812</v>
      </c>
      <c r="E17" s="27">
        <v>272.99</v>
      </c>
    </row>
    <row r="18" spans="1:5">
      <c r="A18" t="s">
        <v>5</v>
      </c>
      <c r="B18" t="s">
        <v>80</v>
      </c>
      <c r="C18" s="27">
        <v>73.4343</v>
      </c>
      <c r="D18" s="27">
        <v>115.7833</v>
      </c>
      <c r="E18" s="27">
        <v>129.85</v>
      </c>
    </row>
    <row r="19" spans="1:5">
      <c r="A19" t="s">
        <v>6</v>
      </c>
      <c r="B19" t="s">
        <v>80</v>
      </c>
      <c r="C19" s="27">
        <v>87.2503</v>
      </c>
      <c r="D19" s="27">
        <v>123.4908</v>
      </c>
      <c r="E19" s="27">
        <v>166.97</v>
      </c>
    </row>
    <row r="20" spans="1:5">
      <c r="A20" t="s">
        <v>7</v>
      </c>
      <c r="B20" t="s">
        <v>80</v>
      </c>
      <c r="C20" s="27">
        <v>41.1358</v>
      </c>
      <c r="D20" s="27">
        <v>67.9686</v>
      </c>
      <c r="E20" s="27">
        <v>59.87</v>
      </c>
    </row>
    <row r="21" spans="1:5">
      <c r="A21" t="s">
        <v>8</v>
      </c>
      <c r="B21" t="s">
        <v>80</v>
      </c>
      <c r="C21" s="27">
        <v>12283.6212</v>
      </c>
      <c r="D21" s="27">
        <v>12855.9177</v>
      </c>
      <c r="E21" s="27">
        <v>17311.69</v>
      </c>
    </row>
    <row r="22" spans="1:5">
      <c r="A22" t="s">
        <v>9</v>
      </c>
      <c r="B22" t="s">
        <v>80</v>
      </c>
      <c r="C22" s="27">
        <v>543.8474</v>
      </c>
      <c r="D22" s="27">
        <v>578.9057</v>
      </c>
      <c r="E22" s="27">
        <v>785.14</v>
      </c>
    </row>
    <row r="23" spans="1:5">
      <c r="A23" t="s">
        <v>10</v>
      </c>
      <c r="B23" t="s">
        <v>80</v>
      </c>
      <c r="C23" s="27">
        <v>13673.198</v>
      </c>
      <c r="D23" s="27">
        <v>37031.6614</v>
      </c>
      <c r="E23" s="27">
        <v>92218.26</v>
      </c>
    </row>
    <row r="24" spans="1:5">
      <c r="A24" t="s">
        <v>11</v>
      </c>
      <c r="B24" t="s">
        <v>80</v>
      </c>
      <c r="C24" s="27">
        <v>8880.5189</v>
      </c>
      <c r="D24" s="27">
        <v>8505.1996</v>
      </c>
      <c r="E24" s="27">
        <v>12351.03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opLeftCell="A4" workbookViewId="0">
      <selection activeCell="H47" sqref="H47"/>
    </sheetView>
  </sheetViews>
  <sheetFormatPr defaultColWidth="9" defaultRowHeight="13.5" outlineLevelCol="3"/>
  <sheetData>
    <row r="1" spans="1:4">
      <c r="A1" s="11"/>
      <c r="B1" s="12" t="s">
        <v>0</v>
      </c>
      <c r="C1" s="11"/>
      <c r="D1" s="11"/>
    </row>
    <row r="2" ht="14.25" spans="1:4">
      <c r="A2" s="13"/>
      <c r="B2" s="14" t="s">
        <v>12</v>
      </c>
      <c r="C2" s="14" t="s">
        <v>13</v>
      </c>
      <c r="D2" s="15" t="s">
        <v>14</v>
      </c>
    </row>
    <row r="3" spans="1:4">
      <c r="A3" s="16" t="s">
        <v>15</v>
      </c>
      <c r="B3" s="16">
        <v>2139.9</v>
      </c>
      <c r="C3" s="16">
        <v>99.9</v>
      </c>
      <c r="D3" s="17">
        <v>2239.8</v>
      </c>
    </row>
    <row r="4" spans="1:4">
      <c r="A4" s="16" t="s">
        <v>16</v>
      </c>
      <c r="B4" s="16" t="s">
        <v>17</v>
      </c>
      <c r="C4" s="16">
        <v>198.33</v>
      </c>
      <c r="D4" s="16">
        <v>198.33</v>
      </c>
    </row>
    <row r="5" spans="1:4">
      <c r="A5" s="16" t="s">
        <v>18</v>
      </c>
      <c r="B5" s="16" t="s">
        <v>17</v>
      </c>
      <c r="C5" s="16">
        <v>155.05</v>
      </c>
      <c r="D5" s="16">
        <v>155.05</v>
      </c>
    </row>
    <row r="6" spans="1:4">
      <c r="A6" s="16" t="s">
        <v>19</v>
      </c>
      <c r="B6" s="16" t="s">
        <v>17</v>
      </c>
      <c r="C6" s="16">
        <v>157.51</v>
      </c>
      <c r="D6" s="16">
        <v>157.51</v>
      </c>
    </row>
    <row r="7" spans="1:4">
      <c r="A7" s="16" t="s">
        <v>20</v>
      </c>
      <c r="B7" s="16" t="s">
        <v>17</v>
      </c>
      <c r="C7" s="16">
        <v>101.82</v>
      </c>
      <c r="D7" s="16">
        <v>101.82</v>
      </c>
    </row>
    <row r="8" spans="1:4">
      <c r="A8" s="16" t="s">
        <v>21</v>
      </c>
      <c r="B8" s="16" t="s">
        <v>17</v>
      </c>
      <c r="C8" s="16">
        <v>101.65</v>
      </c>
      <c r="D8" s="16">
        <v>101.65</v>
      </c>
    </row>
    <row r="9" spans="1:4">
      <c r="A9" s="16" t="s">
        <v>22</v>
      </c>
      <c r="B9" s="16" t="s">
        <v>17</v>
      </c>
      <c r="C9" s="16">
        <v>158.33</v>
      </c>
      <c r="D9" s="16">
        <v>158.33</v>
      </c>
    </row>
    <row r="10" spans="1:4">
      <c r="A10" s="16" t="s">
        <v>23</v>
      </c>
      <c r="B10" s="16" t="s">
        <v>17</v>
      </c>
      <c r="C10" s="16">
        <v>160.8</v>
      </c>
      <c r="D10" s="16">
        <v>160.8</v>
      </c>
    </row>
    <row r="11" spans="1:4">
      <c r="A11" s="16" t="s">
        <v>24</v>
      </c>
      <c r="B11" s="16" t="s">
        <v>17</v>
      </c>
      <c r="C11" s="16">
        <v>160.11</v>
      </c>
      <c r="D11" s="16">
        <v>160.11</v>
      </c>
    </row>
    <row r="12" spans="1:4">
      <c r="A12" s="16" t="s">
        <v>25</v>
      </c>
      <c r="B12" s="16" t="s">
        <v>17</v>
      </c>
      <c r="C12" s="16">
        <v>106.19</v>
      </c>
      <c r="D12" s="16">
        <v>106.19</v>
      </c>
    </row>
    <row r="13" spans="1:4">
      <c r="A13" s="16" t="s">
        <v>26</v>
      </c>
      <c r="B13" s="16" t="s">
        <v>17</v>
      </c>
      <c r="C13" s="16">
        <v>165.84</v>
      </c>
      <c r="D13" s="16">
        <v>165.84</v>
      </c>
    </row>
    <row r="14" spans="1:4">
      <c r="A14" s="16" t="s">
        <v>27</v>
      </c>
      <c r="B14" s="16" t="s">
        <v>17</v>
      </c>
      <c r="C14" s="16">
        <v>169.93</v>
      </c>
      <c r="D14" s="16">
        <v>169.93</v>
      </c>
    </row>
    <row r="15" ht="14.25" spans="1:4">
      <c r="A15" s="14" t="s">
        <v>28</v>
      </c>
      <c r="B15" s="14">
        <v>2139.9</v>
      </c>
      <c r="C15" s="14">
        <v>1735.46</v>
      </c>
      <c r="D15" s="14">
        <v>3875.36</v>
      </c>
    </row>
    <row r="16" spans="1:4">
      <c r="A16" s="16" t="s">
        <v>29</v>
      </c>
      <c r="B16" s="16">
        <v>3951.8</v>
      </c>
      <c r="C16" s="16">
        <v>158.14</v>
      </c>
      <c r="D16" s="17">
        <v>4109.94</v>
      </c>
    </row>
    <row r="17" spans="1:4">
      <c r="A17" s="16" t="s">
        <v>30</v>
      </c>
      <c r="B17" s="16" t="s">
        <v>17</v>
      </c>
      <c r="C17" s="16">
        <v>158.78</v>
      </c>
      <c r="D17" s="16">
        <v>158.78</v>
      </c>
    </row>
    <row r="18" spans="1:4">
      <c r="A18" s="16" t="s">
        <v>31</v>
      </c>
      <c r="B18" s="16" t="s">
        <v>17</v>
      </c>
      <c r="C18" s="16">
        <v>249.86</v>
      </c>
      <c r="D18" s="16">
        <v>249.86</v>
      </c>
    </row>
    <row r="19" spans="1:4">
      <c r="A19" s="16" t="s">
        <v>32</v>
      </c>
      <c r="B19" s="16" t="s">
        <v>17</v>
      </c>
      <c r="C19" s="16">
        <v>256.55</v>
      </c>
      <c r="D19" s="16">
        <v>256.55</v>
      </c>
    </row>
    <row r="20" spans="1:4">
      <c r="A20" s="16" t="s">
        <v>33</v>
      </c>
      <c r="B20" s="16" t="s">
        <v>17</v>
      </c>
      <c r="C20" s="16">
        <v>157.45</v>
      </c>
      <c r="D20" s="16">
        <v>157.45</v>
      </c>
    </row>
    <row r="21" spans="1:4">
      <c r="A21" s="16" t="s">
        <v>34</v>
      </c>
      <c r="B21" s="16" t="s">
        <v>17</v>
      </c>
      <c r="C21" s="16">
        <v>159.21</v>
      </c>
      <c r="D21" s="16">
        <v>159.21</v>
      </c>
    </row>
    <row r="22" spans="1:4">
      <c r="A22" s="16" t="s">
        <v>35</v>
      </c>
      <c r="B22" s="16" t="s">
        <v>17</v>
      </c>
      <c r="C22" s="16">
        <v>259.2</v>
      </c>
      <c r="D22" s="16">
        <v>259.2</v>
      </c>
    </row>
    <row r="23" spans="1:4">
      <c r="A23" s="16" t="s">
        <v>36</v>
      </c>
      <c r="B23" s="16" t="s">
        <v>17</v>
      </c>
      <c r="C23" s="16">
        <v>262.2</v>
      </c>
      <c r="D23" s="16">
        <v>262.2</v>
      </c>
    </row>
    <row r="24" spans="1:4">
      <c r="A24" s="16" t="s">
        <v>37</v>
      </c>
      <c r="B24" s="16" t="s">
        <v>17</v>
      </c>
      <c r="C24" s="16">
        <v>160.76</v>
      </c>
      <c r="D24" s="16">
        <v>160.76</v>
      </c>
    </row>
    <row r="25" spans="1:4">
      <c r="A25" s="16" t="s">
        <v>38</v>
      </c>
      <c r="B25" s="16" t="s">
        <v>17</v>
      </c>
      <c r="C25" s="16">
        <v>165.24</v>
      </c>
      <c r="D25" s="16">
        <v>165.24</v>
      </c>
    </row>
    <row r="26" spans="1:4">
      <c r="A26" s="16" t="s">
        <v>39</v>
      </c>
      <c r="B26" s="16" t="s">
        <v>17</v>
      </c>
      <c r="C26" s="16">
        <v>273.39</v>
      </c>
      <c r="D26" s="16">
        <v>273.39</v>
      </c>
    </row>
    <row r="27" spans="1:4">
      <c r="A27" s="16" t="s">
        <v>40</v>
      </c>
      <c r="B27" s="16" t="s">
        <v>17</v>
      </c>
      <c r="C27" s="16">
        <v>277.5</v>
      </c>
      <c r="D27" s="16">
        <v>277.5</v>
      </c>
    </row>
    <row r="28" ht="14.25" spans="1:4">
      <c r="A28" s="14" t="s">
        <v>28</v>
      </c>
      <c r="B28" s="14">
        <v>3951.8</v>
      </c>
      <c r="C28" s="14">
        <v>2538.27</v>
      </c>
      <c r="D28" s="14">
        <v>6490.07</v>
      </c>
    </row>
    <row r="29" spans="1:4">
      <c r="A29" s="16" t="s">
        <v>41</v>
      </c>
      <c r="B29" s="16">
        <v>6272.45</v>
      </c>
      <c r="C29" s="16">
        <v>216.19</v>
      </c>
      <c r="D29" s="17">
        <v>6488.64</v>
      </c>
    </row>
    <row r="30" spans="1:4">
      <c r="A30" s="16" t="s">
        <v>42</v>
      </c>
      <c r="B30" s="16" t="s">
        <v>17</v>
      </c>
      <c r="C30" s="16">
        <v>218.46</v>
      </c>
      <c r="D30" s="16">
        <v>218.46</v>
      </c>
    </row>
    <row r="31" spans="1:4">
      <c r="A31" s="16" t="s">
        <v>43</v>
      </c>
      <c r="B31" s="16" t="s">
        <v>17</v>
      </c>
      <c r="C31" s="16">
        <v>350.07</v>
      </c>
      <c r="D31" s="16">
        <v>350.07</v>
      </c>
    </row>
    <row r="32" spans="1:4">
      <c r="A32" s="16" t="s">
        <v>44</v>
      </c>
      <c r="B32" s="16" t="s">
        <v>17</v>
      </c>
      <c r="C32" s="16">
        <v>359.39</v>
      </c>
      <c r="D32" s="16">
        <v>359.39</v>
      </c>
    </row>
    <row r="33" spans="1:4">
      <c r="A33" s="16" t="s">
        <v>45</v>
      </c>
      <c r="B33" s="16" t="s">
        <v>17</v>
      </c>
      <c r="C33" s="16">
        <v>221.63</v>
      </c>
      <c r="D33" s="16">
        <v>221.63</v>
      </c>
    </row>
    <row r="34" spans="1:4">
      <c r="A34" s="16" t="s">
        <v>46</v>
      </c>
      <c r="B34" s="16" t="s">
        <v>17</v>
      </c>
      <c r="C34" s="16">
        <v>226.55</v>
      </c>
      <c r="D34" s="16">
        <v>226.55</v>
      </c>
    </row>
    <row r="35" spans="1:4">
      <c r="A35" s="16" t="s">
        <v>47</v>
      </c>
      <c r="B35" s="16" t="s">
        <v>17</v>
      </c>
      <c r="C35" s="16">
        <v>367.79</v>
      </c>
      <c r="D35" s="16">
        <v>367.79</v>
      </c>
    </row>
    <row r="36" spans="1:4">
      <c r="A36" s="16" t="s">
        <v>48</v>
      </c>
      <c r="B36" s="16" t="s">
        <v>17</v>
      </c>
      <c r="C36" s="16">
        <v>377.94</v>
      </c>
      <c r="D36" s="16">
        <v>377.94</v>
      </c>
    </row>
    <row r="37" spans="1:4">
      <c r="A37" s="16" t="s">
        <v>49</v>
      </c>
      <c r="B37" s="16" t="s">
        <v>17</v>
      </c>
      <c r="C37" s="16">
        <v>229.57</v>
      </c>
      <c r="D37" s="16">
        <v>229.57</v>
      </c>
    </row>
    <row r="38" spans="1:4">
      <c r="A38" s="16" t="s">
        <v>50</v>
      </c>
      <c r="B38" s="16" t="s">
        <v>17</v>
      </c>
      <c r="C38" s="16">
        <v>227.06</v>
      </c>
      <c r="D38" s="16">
        <v>227.06</v>
      </c>
    </row>
    <row r="39" spans="1:4">
      <c r="A39" s="16" t="s">
        <v>51</v>
      </c>
      <c r="B39" s="16" t="s">
        <v>17</v>
      </c>
      <c r="C39" s="16">
        <v>379.09</v>
      </c>
      <c r="D39" s="16">
        <v>379.09</v>
      </c>
    </row>
    <row r="40" spans="1:4">
      <c r="A40" s="16" t="s">
        <v>52</v>
      </c>
      <c r="B40" s="16" t="s">
        <v>17</v>
      </c>
      <c r="C40" s="16">
        <v>387.84</v>
      </c>
      <c r="D40" s="16">
        <v>387.84</v>
      </c>
    </row>
    <row r="41" ht="14.25" spans="1:4">
      <c r="A41" s="14" t="s">
        <v>28</v>
      </c>
      <c r="B41" s="14">
        <v>6272.45</v>
      </c>
      <c r="C41" s="14">
        <v>3561.57</v>
      </c>
      <c r="D41" s="15">
        <v>9834.02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tabSelected="1" workbookViewId="0">
      <selection activeCell="N15" sqref="N15"/>
    </sheetView>
  </sheetViews>
  <sheetFormatPr defaultColWidth="9" defaultRowHeight="13.5"/>
  <cols>
    <col min="2" max="2" width="12.625"/>
    <col min="13" max="13" width="9.375"/>
    <col min="14" max="19" width="11.5"/>
    <col min="20" max="20" width="12.625"/>
    <col min="21" max="23" width="11.5"/>
  </cols>
  <sheetData>
    <row r="1" spans="1:13">
      <c r="A1" s="1" t="s">
        <v>81</v>
      </c>
      <c r="B1" s="2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ht="15" spans="1:13">
      <c r="A2" s="4" t="s">
        <v>15</v>
      </c>
      <c r="B2" s="5">
        <v>0.097831335067749</v>
      </c>
      <c r="C2" s="6">
        <v>3600</v>
      </c>
      <c r="D2" s="7">
        <v>0.023165</v>
      </c>
      <c r="E2" s="7">
        <v>0.018889</v>
      </c>
      <c r="F2" s="7">
        <v>0.073879</v>
      </c>
      <c r="G2" s="7">
        <v>0.035403</v>
      </c>
      <c r="H2" s="7">
        <v>0.037626</v>
      </c>
      <c r="I2" s="7">
        <v>0.017653</v>
      </c>
      <c r="J2" s="7">
        <v>0.05642002</v>
      </c>
      <c r="K2" s="7">
        <v>0.340267</v>
      </c>
      <c r="L2" s="7">
        <v>10.171544</v>
      </c>
      <c r="M2" s="7">
        <v>4.003081</v>
      </c>
    </row>
    <row r="3" ht="15" spans="1:13">
      <c r="A3" s="4" t="s">
        <v>16</v>
      </c>
      <c r="B3" s="5">
        <v>0.0964873602986336</v>
      </c>
      <c r="C3" s="6">
        <v>3600</v>
      </c>
      <c r="D3" s="7">
        <v>0.031947</v>
      </c>
      <c r="E3" s="7">
        <v>0.027018</v>
      </c>
      <c r="F3" s="7">
        <v>0.090108</v>
      </c>
      <c r="G3" s="7">
        <v>0.045894</v>
      </c>
      <c r="H3" s="7">
        <v>0.046519</v>
      </c>
      <c r="I3" s="7">
        <v>0.026278</v>
      </c>
      <c r="J3" s="7">
        <v>0.05981595</v>
      </c>
      <c r="K3" s="7">
        <v>0.389218</v>
      </c>
      <c r="L3" s="7">
        <v>11.567759</v>
      </c>
      <c r="M3" s="7">
        <v>5.935503</v>
      </c>
    </row>
    <row r="4" ht="15" spans="1:13">
      <c r="A4" s="4" t="s">
        <v>18</v>
      </c>
      <c r="B4" s="5">
        <v>0.150817620307207</v>
      </c>
      <c r="C4" s="6">
        <v>3600</v>
      </c>
      <c r="D4" s="7">
        <v>0.030241</v>
      </c>
      <c r="E4" s="7">
        <v>0.024064</v>
      </c>
      <c r="F4" s="7">
        <v>0.106804</v>
      </c>
      <c r="G4" s="7">
        <v>0.061569</v>
      </c>
      <c r="H4" s="7">
        <v>0.060319</v>
      </c>
      <c r="I4" s="7">
        <v>0.023318</v>
      </c>
      <c r="J4" s="7">
        <v>0.08174286</v>
      </c>
      <c r="K4" s="7">
        <v>0.495475</v>
      </c>
      <c r="L4" s="7">
        <v>16.150742</v>
      </c>
      <c r="M4" s="7">
        <v>5.106326</v>
      </c>
    </row>
    <row r="5" ht="15" spans="1:13">
      <c r="A5" s="4" t="s">
        <v>19</v>
      </c>
      <c r="B5" s="5">
        <v>0.154983989</v>
      </c>
      <c r="C5" s="6">
        <v>3600</v>
      </c>
      <c r="D5" s="7">
        <v>0.041085</v>
      </c>
      <c r="E5" s="7">
        <v>0.033638</v>
      </c>
      <c r="F5" s="7">
        <v>0.125344</v>
      </c>
      <c r="G5" s="7">
        <v>0.072579</v>
      </c>
      <c r="H5" s="7">
        <v>0.070485</v>
      </c>
      <c r="I5" s="7">
        <v>0.033326</v>
      </c>
      <c r="J5" s="7">
        <v>0.08108621</v>
      </c>
      <c r="K5" s="7">
        <v>0.513227</v>
      </c>
      <c r="L5" s="7">
        <v>17.422412</v>
      </c>
      <c r="M5" s="7">
        <v>7.035669</v>
      </c>
    </row>
    <row r="6" ht="15" spans="1:13">
      <c r="A6" s="4" t="s">
        <v>20</v>
      </c>
      <c r="B6" s="8">
        <v>0.0970642119646072</v>
      </c>
      <c r="C6" s="6">
        <v>3600</v>
      </c>
      <c r="D6" s="7">
        <v>0.026857</v>
      </c>
      <c r="E6" s="7">
        <v>0.021628</v>
      </c>
      <c r="F6" s="7">
        <v>0.074136</v>
      </c>
      <c r="G6" s="7">
        <v>0.036937</v>
      </c>
      <c r="H6" s="7">
        <v>0.044067</v>
      </c>
      <c r="I6" s="7">
        <v>0.022</v>
      </c>
      <c r="J6" s="7">
        <v>0.06878666</v>
      </c>
      <c r="K6" s="7">
        <v>0.318757</v>
      </c>
      <c r="L6" s="7">
        <v>7.702163</v>
      </c>
      <c r="M6" s="7">
        <v>4.670035</v>
      </c>
    </row>
    <row r="7" ht="15" spans="1:13">
      <c r="A7" s="4" t="s">
        <v>21</v>
      </c>
      <c r="B7" s="8">
        <v>0.0975510850548744</v>
      </c>
      <c r="C7" s="6">
        <v>3600</v>
      </c>
      <c r="D7" s="7">
        <v>0.04387</v>
      </c>
      <c r="E7" s="7">
        <v>0.037872</v>
      </c>
      <c r="F7" s="7">
        <v>0.108356</v>
      </c>
      <c r="G7" s="7">
        <v>0.055062</v>
      </c>
      <c r="H7" s="7">
        <v>0.0623</v>
      </c>
      <c r="I7" s="7">
        <v>0.035088</v>
      </c>
      <c r="J7" s="7">
        <v>0.08087696</v>
      </c>
      <c r="K7" s="7">
        <v>0.406861</v>
      </c>
      <c r="L7" s="7">
        <v>9.568528</v>
      </c>
      <c r="M7" s="7">
        <v>7.595643</v>
      </c>
    </row>
    <row r="8" ht="15" spans="1:13">
      <c r="A8" s="4" t="s">
        <v>22</v>
      </c>
      <c r="B8" s="8">
        <v>0.15355721116066</v>
      </c>
      <c r="C8" s="6">
        <v>3600</v>
      </c>
      <c r="D8" s="7">
        <v>0.036865</v>
      </c>
      <c r="E8" s="7">
        <v>0.028283</v>
      </c>
      <c r="F8" s="7">
        <v>0.114064</v>
      </c>
      <c r="G8" s="7">
        <v>0.065027</v>
      </c>
      <c r="H8" s="7">
        <v>0.078563</v>
      </c>
      <c r="I8" s="7">
        <v>0.028823</v>
      </c>
      <c r="J8" s="7">
        <v>0.11184019</v>
      </c>
      <c r="K8" s="7">
        <v>0.478267</v>
      </c>
      <c r="L8" s="7">
        <v>13.618619</v>
      </c>
      <c r="M8" s="7">
        <v>6.274876</v>
      </c>
    </row>
    <row r="9" ht="15" spans="1:13">
      <c r="A9" s="4" t="s">
        <v>23</v>
      </c>
      <c r="B9" s="5">
        <v>0.156622259</v>
      </c>
      <c r="C9" s="6">
        <v>3600</v>
      </c>
      <c r="D9" s="7">
        <v>0.051593</v>
      </c>
      <c r="E9" s="7">
        <v>0.042812</v>
      </c>
      <c r="F9" s="7">
        <v>0.13623</v>
      </c>
      <c r="G9" s="7">
        <v>0.07799</v>
      </c>
      <c r="H9" s="7">
        <v>0.089219</v>
      </c>
      <c r="I9" s="7">
        <v>0.040751</v>
      </c>
      <c r="J9" s="7">
        <v>0.11394946</v>
      </c>
      <c r="K9" s="7">
        <v>0.541673</v>
      </c>
      <c r="L9" s="7">
        <v>14.811196</v>
      </c>
      <c r="M9" s="7">
        <v>8.988951</v>
      </c>
    </row>
    <row r="10" ht="15" spans="1:13">
      <c r="A10" s="4" t="s">
        <v>24</v>
      </c>
      <c r="B10" s="9">
        <v>0.158100560307503</v>
      </c>
      <c r="C10" s="6">
        <v>3600</v>
      </c>
      <c r="D10" s="7">
        <v>0.042541</v>
      </c>
      <c r="E10" s="7">
        <v>0.034891</v>
      </c>
      <c r="F10" s="7">
        <v>0.097285</v>
      </c>
      <c r="G10" s="7">
        <v>0.050745</v>
      </c>
      <c r="H10" s="7">
        <v>0.066075</v>
      </c>
      <c r="I10" s="7">
        <v>0.033441</v>
      </c>
      <c r="J10" s="7">
        <v>0.11100524</v>
      </c>
      <c r="K10" s="7">
        <v>0.365912</v>
      </c>
      <c r="L10" s="7">
        <v>6.511331</v>
      </c>
      <c r="M10" s="7">
        <v>7.251668</v>
      </c>
    </row>
    <row r="11" ht="15" spans="1:13">
      <c r="A11" s="4" t="s">
        <v>25</v>
      </c>
      <c r="B11" s="8">
        <v>0.102350875735283</v>
      </c>
      <c r="C11" s="6">
        <v>3600</v>
      </c>
      <c r="D11" s="7">
        <v>0.064945</v>
      </c>
      <c r="E11" s="7">
        <v>0.05446</v>
      </c>
      <c r="F11" s="7">
        <v>0.134901</v>
      </c>
      <c r="G11" s="7">
        <v>0.069234</v>
      </c>
      <c r="H11" s="7">
        <v>0.086431</v>
      </c>
      <c r="I11" s="7">
        <v>0.052754</v>
      </c>
      <c r="J11" s="7">
        <v>0.12127112</v>
      </c>
      <c r="K11" s="7">
        <v>0.483792</v>
      </c>
      <c r="L11" s="7">
        <v>7.161292</v>
      </c>
      <c r="M11" s="7">
        <v>11.339525</v>
      </c>
    </row>
    <row r="12" ht="15" spans="1:13">
      <c r="A12" s="4" t="s">
        <v>26</v>
      </c>
      <c r="B12" s="8">
        <v>0.16153010725975</v>
      </c>
      <c r="C12" s="6">
        <v>3600</v>
      </c>
      <c r="D12" s="7">
        <v>0.05123</v>
      </c>
      <c r="E12" s="7">
        <v>0.041844</v>
      </c>
      <c r="F12" s="7">
        <v>0.136217</v>
      </c>
      <c r="G12" s="7">
        <v>0.073667</v>
      </c>
      <c r="H12" s="7">
        <v>0.109231</v>
      </c>
      <c r="I12" s="7">
        <v>0.04022</v>
      </c>
      <c r="J12" s="7">
        <v>0.17182453</v>
      </c>
      <c r="K12" s="7">
        <v>0.508245</v>
      </c>
      <c r="L12" s="7">
        <v>10.89856</v>
      </c>
      <c r="M12" s="7">
        <v>8.60085</v>
      </c>
    </row>
    <row r="13" ht="15" spans="1:13">
      <c r="A13" s="4" t="s">
        <v>27</v>
      </c>
      <c r="B13" s="8">
        <v>0.166963011026382</v>
      </c>
      <c r="C13" s="6">
        <v>3600</v>
      </c>
      <c r="D13" s="7">
        <v>0.072609</v>
      </c>
      <c r="E13" s="7">
        <v>0.059411</v>
      </c>
      <c r="F13" s="7">
        <v>0.159162</v>
      </c>
      <c r="G13" s="7">
        <v>0.090236</v>
      </c>
      <c r="H13" s="7">
        <v>0.121668</v>
      </c>
      <c r="I13" s="7">
        <v>0.057706</v>
      </c>
      <c r="J13" s="7">
        <v>0.16974292</v>
      </c>
      <c r="K13" s="7">
        <v>0.59678</v>
      </c>
      <c r="L13" s="7">
        <v>11.147834</v>
      </c>
      <c r="M13" s="7">
        <v>12.003062</v>
      </c>
    </row>
    <row r="14" ht="15" spans="1:13">
      <c r="A14" s="4" t="s">
        <v>29</v>
      </c>
      <c r="B14" s="8">
        <v>0.154037758708</v>
      </c>
      <c r="C14" s="6">
        <v>3600</v>
      </c>
      <c r="D14" s="7">
        <v>0.022</v>
      </c>
      <c r="E14" s="7">
        <v>0.0196</v>
      </c>
      <c r="F14" s="7">
        <v>0.1091</v>
      </c>
      <c r="G14" s="7">
        <v>0.061</v>
      </c>
      <c r="H14" s="7">
        <v>0.0622</v>
      </c>
      <c r="I14" s="7">
        <v>0.0282</v>
      </c>
      <c r="J14" s="7">
        <v>7.8239</v>
      </c>
      <c r="K14" s="7">
        <v>0.4462</v>
      </c>
      <c r="L14" s="7">
        <v>30.5057</v>
      </c>
      <c r="M14" s="7">
        <v>4.4215</v>
      </c>
    </row>
    <row r="15" ht="15" spans="1:13">
      <c r="A15" s="4" t="s">
        <v>30</v>
      </c>
      <c r="B15" s="8">
        <v>0.157271072268486</v>
      </c>
      <c r="C15" s="6">
        <v>3600</v>
      </c>
      <c r="D15" s="7">
        <v>0.026</v>
      </c>
      <c r="E15" s="7">
        <v>0.025</v>
      </c>
      <c r="F15" s="7">
        <v>0.2252</v>
      </c>
      <c r="G15" s="7">
        <v>0.125</v>
      </c>
      <c r="H15" s="7">
        <v>0.1299</v>
      </c>
      <c r="I15" s="7">
        <v>0.0503</v>
      </c>
      <c r="J15" s="7">
        <v>6.6442</v>
      </c>
      <c r="K15" s="7">
        <v>0.4418</v>
      </c>
      <c r="L15" s="7">
        <v>37.5</v>
      </c>
      <c r="M15" s="7">
        <v>6.0802</v>
      </c>
    </row>
    <row r="16" ht="15" spans="1:13">
      <c r="A16" s="4" t="s">
        <v>31</v>
      </c>
      <c r="B16" s="8">
        <v>0.245986178517342</v>
      </c>
      <c r="C16" s="6">
        <v>3600</v>
      </c>
      <c r="D16" s="7">
        <v>0.037978</v>
      </c>
      <c r="E16" s="7">
        <v>0.028283</v>
      </c>
      <c r="F16" s="7">
        <v>0.182596</v>
      </c>
      <c r="G16" s="7">
        <v>0.095293</v>
      </c>
      <c r="H16" s="7">
        <v>0.095033</v>
      </c>
      <c r="I16" s="7">
        <v>0.028473</v>
      </c>
      <c r="J16" s="7">
        <v>10.20167</v>
      </c>
      <c r="K16" s="7">
        <v>0.682843</v>
      </c>
      <c r="L16" s="7">
        <v>54.42102</v>
      </c>
      <c r="M16" s="7">
        <v>6.502034</v>
      </c>
    </row>
    <row r="17" ht="15" spans="1:13">
      <c r="A17" s="4" t="s">
        <v>32</v>
      </c>
      <c r="B17" s="8">
        <v>0.250818341970444</v>
      </c>
      <c r="C17" s="6">
        <v>3600</v>
      </c>
      <c r="D17" s="7">
        <v>0.036393</v>
      </c>
      <c r="E17" s="7">
        <v>0.209577</v>
      </c>
      <c r="F17" s="7">
        <v>0.158955</v>
      </c>
      <c r="G17" s="7">
        <v>0.080912</v>
      </c>
      <c r="H17" s="7">
        <v>0.077636</v>
      </c>
      <c r="I17" s="7">
        <v>0.126103</v>
      </c>
      <c r="J17" s="7">
        <v>7.868865</v>
      </c>
      <c r="K17" s="7">
        <v>0.521503</v>
      </c>
      <c r="L17" s="7">
        <v>43.748192</v>
      </c>
      <c r="M17" s="7">
        <v>6.322111</v>
      </c>
    </row>
    <row r="18" ht="15" spans="1:13">
      <c r="A18" s="4" t="s">
        <v>33</v>
      </c>
      <c r="B18" s="8">
        <v>0.153803586959839</v>
      </c>
      <c r="C18" s="6">
        <v>3600</v>
      </c>
      <c r="D18" s="10">
        <v>0.017474</v>
      </c>
      <c r="E18" s="10">
        <v>0.014469</v>
      </c>
      <c r="F18" s="10">
        <v>0.061201</v>
      </c>
      <c r="G18" s="10">
        <v>0.029774</v>
      </c>
      <c r="H18" s="10">
        <v>0.036125</v>
      </c>
      <c r="I18" s="10">
        <v>0.014167</v>
      </c>
      <c r="J18" s="10">
        <v>5.119612</v>
      </c>
      <c r="K18" s="10">
        <v>0.242271</v>
      </c>
      <c r="L18" s="10">
        <v>14.593678</v>
      </c>
      <c r="M18" s="10">
        <v>3.188093</v>
      </c>
    </row>
    <row r="19" ht="15" spans="1:13">
      <c r="A19" s="4" t="s">
        <v>34</v>
      </c>
      <c r="B19" s="8">
        <v>0.1542709171772</v>
      </c>
      <c r="C19" s="6">
        <v>3600</v>
      </c>
      <c r="D19" s="7">
        <v>0.027682</v>
      </c>
      <c r="E19" s="7">
        <v>0.022689</v>
      </c>
      <c r="F19" s="7">
        <v>0.080535</v>
      </c>
      <c r="G19" s="7">
        <v>0.040414</v>
      </c>
      <c r="H19" s="7">
        <v>0.04752</v>
      </c>
      <c r="I19" s="7">
        <v>0.021908</v>
      </c>
      <c r="J19" s="7">
        <v>5.713683</v>
      </c>
      <c r="K19" s="7">
        <v>0.291101</v>
      </c>
      <c r="L19" s="7">
        <v>17.745562</v>
      </c>
      <c r="M19" s="7">
        <v>4.953624</v>
      </c>
    </row>
    <row r="20" ht="15" spans="1:13">
      <c r="A20" s="4" t="s">
        <v>35</v>
      </c>
      <c r="B20" s="8">
        <v>0.254476606845856</v>
      </c>
      <c r="C20" s="6">
        <v>3600</v>
      </c>
      <c r="D20" s="7">
        <v>0.026854</v>
      </c>
      <c r="E20" s="7">
        <v>0.166757</v>
      </c>
      <c r="F20" s="7">
        <v>0.10495</v>
      </c>
      <c r="G20" s="7">
        <v>0.060054</v>
      </c>
      <c r="H20" s="7">
        <v>0.107088</v>
      </c>
      <c r="I20" s="7">
        <v>0.020306</v>
      </c>
      <c r="J20" s="7">
        <v>8.82684</v>
      </c>
      <c r="K20" s="7">
        <v>0.405871</v>
      </c>
      <c r="L20" s="7">
        <v>26.551069</v>
      </c>
      <c r="M20" s="7">
        <v>4.44657</v>
      </c>
    </row>
    <row r="21" ht="15" spans="1:13">
      <c r="A21" s="4" t="s">
        <v>36</v>
      </c>
      <c r="B21" s="8">
        <v>0.257668703794479</v>
      </c>
      <c r="C21" s="6">
        <v>3600</v>
      </c>
      <c r="D21" s="7">
        <v>0.043026</v>
      </c>
      <c r="E21" s="7">
        <v>0.162387</v>
      </c>
      <c r="F21" s="7">
        <v>0.275756</v>
      </c>
      <c r="G21" s="7">
        <v>0.202493</v>
      </c>
      <c r="H21" s="7">
        <v>0.138754</v>
      </c>
      <c r="I21" s="7">
        <v>0.087188</v>
      </c>
      <c r="J21" s="7">
        <v>10.419667</v>
      </c>
      <c r="K21" s="7">
        <v>0.50106</v>
      </c>
      <c r="L21" s="7">
        <v>35.331446</v>
      </c>
      <c r="M21" s="7">
        <v>7.386753</v>
      </c>
    </row>
    <row r="22" ht="15" spans="1:13">
      <c r="A22" s="4" t="s">
        <v>37</v>
      </c>
      <c r="B22" s="8">
        <v>0.158247351646423</v>
      </c>
      <c r="C22" s="6">
        <v>3600</v>
      </c>
      <c r="D22" s="7">
        <v>0.038585</v>
      </c>
      <c r="E22" s="7">
        <v>0.031044</v>
      </c>
      <c r="F22" s="7">
        <v>0.396575</v>
      </c>
      <c r="G22" s="7">
        <v>0.050456</v>
      </c>
      <c r="H22" s="7">
        <v>0.078197</v>
      </c>
      <c r="I22" s="7">
        <v>0.079578</v>
      </c>
      <c r="J22" s="7">
        <v>11.258544</v>
      </c>
      <c r="K22" s="7">
        <v>0.372643</v>
      </c>
      <c r="L22" s="7">
        <v>17.043151</v>
      </c>
      <c r="M22" s="7">
        <v>6.607761</v>
      </c>
    </row>
    <row r="23" ht="15" spans="1:13">
      <c r="A23" s="4" t="s">
        <v>38</v>
      </c>
      <c r="B23" s="8">
        <v>0.162482112646103</v>
      </c>
      <c r="C23" s="6">
        <v>3600</v>
      </c>
      <c r="D23" s="7">
        <v>0.04979</v>
      </c>
      <c r="E23" s="7">
        <v>0.042802</v>
      </c>
      <c r="F23" s="7">
        <v>0.372181</v>
      </c>
      <c r="G23" s="7">
        <v>0.16357</v>
      </c>
      <c r="H23" s="7">
        <v>0.086467</v>
      </c>
      <c r="I23" s="7">
        <v>0.102043</v>
      </c>
      <c r="J23" s="7">
        <v>10.625961</v>
      </c>
      <c r="K23" s="7">
        <v>0.40447</v>
      </c>
      <c r="L23" s="7">
        <v>17.40863</v>
      </c>
      <c r="M23" s="7">
        <v>8.821996</v>
      </c>
    </row>
    <row r="24" ht="15" spans="1:13">
      <c r="A24" s="4" t="s">
        <v>39</v>
      </c>
      <c r="B24" s="8">
        <v>0.269153147935867</v>
      </c>
      <c r="C24" s="6">
        <v>3600</v>
      </c>
      <c r="D24" s="7">
        <v>0.066489</v>
      </c>
      <c r="E24" s="7">
        <v>0.054399</v>
      </c>
      <c r="F24" s="7">
        <v>0.215649</v>
      </c>
      <c r="G24" s="7">
        <v>0.115971</v>
      </c>
      <c r="H24" s="7">
        <v>0.179544</v>
      </c>
      <c r="I24" s="7">
        <v>0.050688</v>
      </c>
      <c r="J24" s="7">
        <v>22.253288</v>
      </c>
      <c r="K24" s="7">
        <v>0.704817</v>
      </c>
      <c r="L24" s="7">
        <v>36.216099</v>
      </c>
      <c r="M24" s="7">
        <v>11.098951</v>
      </c>
    </row>
    <row r="25" ht="15" spans="1:13">
      <c r="A25" s="4" t="s">
        <v>40</v>
      </c>
      <c r="B25" s="8">
        <v>0.270049631595612</v>
      </c>
      <c r="C25" s="6">
        <v>3600</v>
      </c>
      <c r="D25" s="7">
        <v>0.090955</v>
      </c>
      <c r="E25" s="7">
        <v>0.071838</v>
      </c>
      <c r="F25" s="7">
        <v>0.240114</v>
      </c>
      <c r="G25" s="7">
        <v>0.132896</v>
      </c>
      <c r="H25" s="7">
        <v>0.196444</v>
      </c>
      <c r="I25" s="7">
        <v>0.070732</v>
      </c>
      <c r="J25" s="7">
        <v>21.802947</v>
      </c>
      <c r="K25" s="7">
        <v>0.774478</v>
      </c>
      <c r="L25" s="7">
        <v>39.252067</v>
      </c>
      <c r="M25" s="7">
        <v>15.222403</v>
      </c>
    </row>
    <row r="26" ht="15" spans="1:13">
      <c r="A26" s="4" t="s">
        <v>41</v>
      </c>
      <c r="B26" s="8">
        <v>0.212812587618828</v>
      </c>
      <c r="C26" s="6">
        <v>3600</v>
      </c>
      <c r="D26" s="5">
        <v>0.0296</v>
      </c>
      <c r="E26" s="5">
        <v>0.018</v>
      </c>
      <c r="F26" s="5">
        <v>0.142</v>
      </c>
      <c r="G26" s="5">
        <v>0.077</v>
      </c>
      <c r="H26" s="5">
        <v>0.06</v>
      </c>
      <c r="I26" s="5">
        <v>0.0184</v>
      </c>
      <c r="J26" s="5">
        <v>8.3553</v>
      </c>
      <c r="K26" s="5">
        <v>0.4686</v>
      </c>
      <c r="L26" s="5">
        <v>61.5065</v>
      </c>
      <c r="M26" s="5">
        <v>5.8158</v>
      </c>
    </row>
    <row r="27" ht="15" spans="1:13">
      <c r="A27" s="4" t="s">
        <v>42</v>
      </c>
      <c r="B27" s="8">
        <v>0.213884562253952</v>
      </c>
      <c r="C27" s="6">
        <v>3600</v>
      </c>
      <c r="D27" s="5">
        <v>0.0302</v>
      </c>
      <c r="E27" s="5">
        <v>0.025</v>
      </c>
      <c r="F27" s="5">
        <v>0.1136</v>
      </c>
      <c r="G27" s="5">
        <v>0.06</v>
      </c>
      <c r="H27" s="5">
        <v>0.069</v>
      </c>
      <c r="I27" s="5">
        <v>0.0221</v>
      </c>
      <c r="J27" s="5">
        <v>5.1301</v>
      </c>
      <c r="K27" s="5">
        <v>0.3741</v>
      </c>
      <c r="L27" s="5">
        <v>66.8652</v>
      </c>
      <c r="M27" s="5">
        <v>9.6426</v>
      </c>
    </row>
    <row r="28" ht="15" spans="1:13">
      <c r="A28" s="4" t="s">
        <v>43</v>
      </c>
      <c r="B28" s="8">
        <v>0.348598718643188</v>
      </c>
      <c r="C28" s="6">
        <v>3600</v>
      </c>
      <c r="D28" s="5">
        <v>0.025</v>
      </c>
      <c r="E28" s="5">
        <v>0.018</v>
      </c>
      <c r="F28" s="5">
        <v>0.1458</v>
      </c>
      <c r="G28" s="5">
        <v>0.0937</v>
      </c>
      <c r="H28" s="5">
        <v>0.075</v>
      </c>
      <c r="I28" s="5">
        <v>0.019</v>
      </c>
      <c r="J28" s="5">
        <v>7.3169</v>
      </c>
      <c r="K28" s="5">
        <v>0.518</v>
      </c>
      <c r="L28" s="5">
        <v>109.2374</v>
      </c>
      <c r="M28" s="5">
        <v>5.6536</v>
      </c>
    </row>
    <row r="29" ht="15" spans="1:13">
      <c r="A29" s="4" t="s">
        <v>44</v>
      </c>
      <c r="B29" s="8">
        <v>0.354711294174194</v>
      </c>
      <c r="C29" s="6">
        <v>3600</v>
      </c>
      <c r="D29" s="5">
        <v>0.0431</v>
      </c>
      <c r="E29" s="5">
        <v>0.03</v>
      </c>
      <c r="F29" s="5">
        <v>0.173</v>
      </c>
      <c r="G29" s="5">
        <v>0.1047</v>
      </c>
      <c r="H29" s="5">
        <v>0.089</v>
      </c>
      <c r="I29" s="5">
        <v>0.035</v>
      </c>
      <c r="J29" s="5">
        <v>8.1219</v>
      </c>
      <c r="K29" s="5">
        <v>0.6305</v>
      </c>
      <c r="L29" s="5">
        <v>139.748</v>
      </c>
      <c r="M29" s="5">
        <v>14.0093</v>
      </c>
    </row>
    <row r="30" ht="15" spans="1:13">
      <c r="A30" s="4" t="s">
        <v>45</v>
      </c>
      <c r="B30" s="8">
        <v>0.216584369540215</v>
      </c>
      <c r="C30" s="6">
        <v>3600</v>
      </c>
      <c r="D30" s="5">
        <v>0.042</v>
      </c>
      <c r="E30" s="5">
        <v>0.0454</v>
      </c>
      <c r="F30" s="5">
        <v>0.2405</v>
      </c>
      <c r="G30" s="5">
        <v>0.095</v>
      </c>
      <c r="H30" s="5">
        <v>0.1062</v>
      </c>
      <c r="I30" s="5">
        <v>0.0645</v>
      </c>
      <c r="J30" s="5">
        <v>15.834</v>
      </c>
      <c r="K30" s="5">
        <v>0.7408</v>
      </c>
      <c r="L30" s="5">
        <v>61.6922</v>
      </c>
      <c r="M30" s="5">
        <v>8.0789</v>
      </c>
    </row>
    <row r="31" ht="15" spans="1:13">
      <c r="A31" s="4" t="s">
        <v>46</v>
      </c>
      <c r="B31" s="8">
        <v>0.223527044057846</v>
      </c>
      <c r="C31" s="6">
        <v>3600</v>
      </c>
      <c r="D31" s="5">
        <v>0.0416</v>
      </c>
      <c r="E31" s="5">
        <v>0.036</v>
      </c>
      <c r="F31" s="5">
        <v>0.1544</v>
      </c>
      <c r="G31" s="5">
        <v>0.0851</v>
      </c>
      <c r="H31" s="5">
        <v>0.086</v>
      </c>
      <c r="I31" s="5">
        <v>0.0744</v>
      </c>
      <c r="J31" s="5">
        <v>9.095</v>
      </c>
      <c r="K31" s="5">
        <v>0.4716</v>
      </c>
      <c r="L31" s="5">
        <v>57.9294</v>
      </c>
      <c r="M31" s="5">
        <v>9.9205</v>
      </c>
    </row>
    <row r="32" ht="15" spans="1:13">
      <c r="A32" s="4" t="s">
        <v>47</v>
      </c>
      <c r="B32" s="8">
        <v>0.383425861597061</v>
      </c>
      <c r="C32" s="6">
        <v>3600</v>
      </c>
      <c r="D32" s="5">
        <v>0.036</v>
      </c>
      <c r="E32" s="5">
        <v>0.033</v>
      </c>
      <c r="F32" s="5">
        <v>0.3777</v>
      </c>
      <c r="G32" s="5">
        <v>0.2058</v>
      </c>
      <c r="H32" s="5">
        <v>0.1891</v>
      </c>
      <c r="I32" s="5">
        <v>0.0583</v>
      </c>
      <c r="J32" s="5">
        <v>15.7045</v>
      </c>
      <c r="K32" s="5">
        <v>0.8585</v>
      </c>
      <c r="L32" s="5">
        <v>114.648</v>
      </c>
      <c r="M32" s="5">
        <v>10.6845</v>
      </c>
    </row>
    <row r="33" ht="15" spans="1:13">
      <c r="A33" s="4" t="s">
        <v>48</v>
      </c>
      <c r="B33" s="8">
        <v>0.37481814622879</v>
      </c>
      <c r="C33" s="6">
        <v>3600</v>
      </c>
      <c r="D33" s="5">
        <v>0.0521</v>
      </c>
      <c r="E33" s="5">
        <v>0.0484</v>
      </c>
      <c r="F33" s="5">
        <v>0.2116</v>
      </c>
      <c r="G33" s="5">
        <v>0.094</v>
      </c>
      <c r="H33" s="5">
        <v>0.1159</v>
      </c>
      <c r="I33" s="5">
        <v>0.049</v>
      </c>
      <c r="J33" s="5">
        <v>10.7247</v>
      </c>
      <c r="K33" s="5">
        <v>0.5449</v>
      </c>
      <c r="L33" s="5">
        <v>65.9554</v>
      </c>
      <c r="M33" s="5">
        <v>8.0393</v>
      </c>
    </row>
    <row r="34" ht="15" spans="1:13">
      <c r="A34" s="4" t="s">
        <v>49</v>
      </c>
      <c r="B34" s="8">
        <v>0.227541238069534</v>
      </c>
      <c r="C34" s="6">
        <v>3600</v>
      </c>
      <c r="D34" s="5">
        <v>0.072</v>
      </c>
      <c r="E34" s="5">
        <v>0.0685</v>
      </c>
      <c r="F34" s="5">
        <v>0.2514</v>
      </c>
      <c r="G34" s="5">
        <v>0.095</v>
      </c>
      <c r="H34" s="5">
        <v>0.161</v>
      </c>
      <c r="I34" s="5">
        <v>0.0731</v>
      </c>
      <c r="J34" s="5">
        <v>18.1261</v>
      </c>
      <c r="K34" s="5">
        <v>0.4522</v>
      </c>
      <c r="L34" s="5">
        <v>35.813</v>
      </c>
      <c r="M34" s="5">
        <v>8.4863</v>
      </c>
    </row>
    <row r="35" ht="15" spans="1:13">
      <c r="A35" s="4" t="s">
        <v>50</v>
      </c>
      <c r="B35" s="8">
        <v>0.224375247955322</v>
      </c>
      <c r="C35" s="6">
        <v>3600</v>
      </c>
      <c r="D35" s="5">
        <v>0.082</v>
      </c>
      <c r="E35" s="5">
        <v>0.071</v>
      </c>
      <c r="F35" s="5">
        <v>0.3192</v>
      </c>
      <c r="G35" s="5">
        <v>0.1301</v>
      </c>
      <c r="H35" s="5">
        <v>0.2419</v>
      </c>
      <c r="I35" s="5">
        <v>0.0922</v>
      </c>
      <c r="J35" s="5">
        <v>24.7722</v>
      </c>
      <c r="K35" s="5">
        <v>1.1052</v>
      </c>
      <c r="L35" s="5">
        <v>77.2205</v>
      </c>
      <c r="M35" s="5">
        <v>21.2938</v>
      </c>
    </row>
    <row r="36" ht="15" spans="1:13">
      <c r="A36" s="4" t="s">
        <v>51</v>
      </c>
      <c r="B36" s="8">
        <v>0.376189053058624</v>
      </c>
      <c r="C36" s="6">
        <v>3600</v>
      </c>
      <c r="D36" s="5">
        <v>0.0736</v>
      </c>
      <c r="E36" s="5">
        <v>0.0753</v>
      </c>
      <c r="F36" s="5">
        <v>0.3679</v>
      </c>
      <c r="G36" s="5">
        <v>0.1481</v>
      </c>
      <c r="H36" s="5">
        <v>0.2886</v>
      </c>
      <c r="I36" s="5">
        <v>0.042</v>
      </c>
      <c r="J36" s="5">
        <v>32.91</v>
      </c>
      <c r="K36" s="5">
        <v>1.0727</v>
      </c>
      <c r="L36" s="5">
        <v>62.4555</v>
      </c>
      <c r="M36" s="5">
        <v>9.4894</v>
      </c>
    </row>
    <row r="37" ht="15" spans="1:13">
      <c r="A37" s="4" t="s">
        <v>52</v>
      </c>
      <c r="B37" s="8">
        <v>0.383131742477417</v>
      </c>
      <c r="C37" s="6">
        <v>3600</v>
      </c>
      <c r="D37" s="5">
        <v>0.072</v>
      </c>
      <c r="E37" s="5">
        <v>0.057</v>
      </c>
      <c r="F37" s="5">
        <v>0.2328</v>
      </c>
      <c r="G37" s="5">
        <v>0.11</v>
      </c>
      <c r="H37" s="5">
        <v>0.188</v>
      </c>
      <c r="I37" s="5">
        <v>0.0507</v>
      </c>
      <c r="J37" s="5">
        <v>17.0262</v>
      </c>
      <c r="K37" s="5">
        <v>0.6143</v>
      </c>
      <c r="L37" s="5">
        <v>69.1115</v>
      </c>
      <c r="M37" s="5">
        <v>12.3963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推理时间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Shn</dc:creator>
  <cp:lastModifiedBy>pui～～</cp:lastModifiedBy>
  <dcterms:created xsi:type="dcterms:W3CDTF">2023-05-12T11:15:00Z</dcterms:created>
  <dcterms:modified xsi:type="dcterms:W3CDTF">2025-11-21T08:43:24Z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6E9A1863DC874A3F8E16CA1E4153403D_12</vt:lpwstr>
  </property>
</Properties>
</file>